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juliasee/Downloads/"/>
    </mc:Choice>
  </mc:AlternateContent>
  <xr:revisionPtr revIDLastSave="0" documentId="8_{F3514809-C739-2D42-B067-5B5867C07E2D}" xr6:coauthVersionLast="47" xr6:coauthVersionMax="47" xr10:uidLastSave="{00000000-0000-0000-0000-000000000000}"/>
  <bookViews>
    <workbookView xWindow="0" yWindow="0" windowWidth="28800" windowHeight="18000" activeTab="2" xr2:uid="{8DAE9224-CC8F-3A42-8FC6-DD6CDA349FD7}"/>
  </bookViews>
  <sheets>
    <sheet name="Question 1" sheetId="1" r:id="rId1"/>
    <sheet name="Question 2" sheetId="2" r:id="rId2"/>
    <sheet name="Question 3" sheetId="3" r:id="rId3"/>
    <sheet name="Question 4"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33" i="4" l="1"/>
  <c r="G53" i="4"/>
  <c r="G41" i="4"/>
  <c r="G37" i="4"/>
  <c r="G39" i="4" s="1"/>
  <c r="G36" i="4"/>
  <c r="F112" i="4"/>
  <c r="F109" i="4"/>
  <c r="F103" i="4"/>
  <c r="F100" i="4"/>
  <c r="F94" i="4"/>
  <c r="F91" i="4"/>
  <c r="H49" i="4"/>
  <c r="G33" i="4"/>
  <c r="G26" i="4"/>
  <c r="H176" i="3"/>
  <c r="H168" i="3"/>
  <c r="I162" i="3"/>
  <c r="H160" i="3"/>
  <c r="H142" i="3"/>
  <c r="H146" i="3" s="1"/>
  <c r="G98" i="3"/>
  <c r="G94" i="3"/>
  <c r="G86" i="3"/>
  <c r="G79" i="3"/>
  <c r="H54" i="3"/>
  <c r="G51" i="3"/>
  <c r="I42" i="3"/>
  <c r="H25" i="3"/>
  <c r="H22" i="3"/>
  <c r="H70" i="3"/>
  <c r="J64" i="3"/>
  <c r="H65" i="3"/>
  <c r="H61" i="3"/>
  <c r="G44" i="3"/>
  <c r="G33" i="3"/>
  <c r="G30" i="3"/>
  <c r="I62" i="2"/>
  <c r="I59" i="2"/>
  <c r="I56" i="2"/>
  <c r="J31" i="2"/>
  <c r="J32" i="2"/>
  <c r="J36" i="2"/>
  <c r="M29" i="2"/>
  <c r="J46" i="2"/>
  <c r="J50" i="2"/>
  <c r="M55" i="2"/>
  <c r="M52" i="2"/>
  <c r="J48" i="2"/>
  <c r="J47" i="2"/>
  <c r="M46" i="2"/>
  <c r="M49" i="2"/>
  <c r="M35" i="2"/>
  <c r="M38" i="2"/>
  <c r="M32" i="2"/>
</calcChain>
</file>

<file path=xl/sharedStrings.xml><?xml version="1.0" encoding="utf-8"?>
<sst xmlns="http://schemas.openxmlformats.org/spreadsheetml/2006/main" count="410" uniqueCount="322">
  <si>
    <t>Q1. Is the Xbox Game Pass model a success? Based on the metrics and your assessment of the future of the gaming market, will it continue to drive growth and profits for Microsoft?</t>
  </si>
  <si>
    <t>Is Xbox Game Pass a success? </t>
  </si>
  <si>
    <t>From the case, Numbers to use: </t>
  </si>
  <si>
    <t>25 million subscribers by January 2022</t>
  </si>
  <si>
    <t>2.9 billion revenue in 2021</t>
  </si>
  <si>
    <r>
      <t xml:space="preserve">About </t>
    </r>
    <r>
      <rPr>
        <b/>
        <sz val="12"/>
        <color rgb="FF000000"/>
        <rFont val="Times New Roman"/>
        <family val="1"/>
      </rPr>
      <t>20% of Xbox’s total revenue</t>
    </r>
  </si>
  <si>
    <t>Game Pass members: </t>
  </si>
  <si>
    <r>
      <t>played</t>
    </r>
    <r>
      <rPr>
        <b/>
        <sz val="12"/>
        <color rgb="FF000000"/>
        <rFont val="Times New Roman"/>
        <family val="1"/>
      </rPr>
      <t xml:space="preserve"> 40% more titles</t>
    </r>
  </si>
  <si>
    <r>
      <t xml:space="preserve">played </t>
    </r>
    <r>
      <rPr>
        <b/>
        <sz val="12"/>
        <color rgb="FF000000"/>
        <rFont val="Times New Roman"/>
        <family val="1"/>
      </rPr>
      <t>30% more genres</t>
    </r>
  </si>
  <si>
    <r>
      <t xml:space="preserve">spent </t>
    </r>
    <r>
      <rPr>
        <b/>
        <sz val="12"/>
        <color rgb="FF000000"/>
        <rFont val="Times New Roman"/>
        <family val="1"/>
      </rPr>
      <t>50% more on games</t>
    </r>
  </si>
  <si>
    <r>
      <t xml:space="preserve">spent </t>
    </r>
    <r>
      <rPr>
        <b/>
        <sz val="12"/>
        <color rgb="FF000000"/>
        <rFont val="Times New Roman"/>
        <family val="1"/>
      </rPr>
      <t>2.8x more on in-game purchases</t>
    </r>
  </si>
  <si>
    <r>
      <t xml:space="preserve">Existing games joining Game Pass increased player numbers </t>
    </r>
    <r>
      <rPr>
        <b/>
        <sz val="12"/>
        <color rgb="FF000000"/>
        <rFont val="Times New Roman"/>
        <family val="1"/>
      </rPr>
      <t>8.3x</t>
    </r>
  </si>
  <si>
    <r>
      <t xml:space="preserve">Independent games launched on Game Pass saw </t>
    </r>
    <r>
      <rPr>
        <b/>
        <sz val="12"/>
        <color rgb="FF000000"/>
        <rFont val="Times New Roman"/>
        <family val="1"/>
      </rPr>
      <t>15x more players</t>
    </r>
  </si>
  <si>
    <t>Subscriber growth was slowing: </t>
  </si>
  <si>
    <r>
      <t xml:space="preserve">2021 target: </t>
    </r>
    <r>
      <rPr>
        <b/>
        <sz val="12"/>
        <color rgb="FF000000"/>
        <rFont val="Times New Roman"/>
        <family val="1"/>
      </rPr>
      <t xml:space="preserve">48%, </t>
    </r>
    <r>
      <rPr>
        <sz val="12"/>
        <color rgb="FF000000"/>
        <rFont val="Times New Roman"/>
        <family val="1"/>
      </rPr>
      <t xml:space="preserve">actual: </t>
    </r>
    <r>
      <rPr>
        <b/>
        <sz val="12"/>
        <color rgb="FF000000"/>
        <rFont val="Times New Roman"/>
        <family val="1"/>
      </rPr>
      <t>37%</t>
    </r>
  </si>
  <si>
    <r>
      <t xml:space="preserve">2022 target: </t>
    </r>
    <r>
      <rPr>
        <b/>
        <sz val="12"/>
        <color rgb="FF000000"/>
        <rFont val="Times New Roman"/>
        <family val="1"/>
      </rPr>
      <t xml:space="preserve">73%, </t>
    </r>
    <r>
      <rPr>
        <sz val="12"/>
        <color rgb="FF000000"/>
        <rFont val="Times New Roman"/>
        <family val="1"/>
      </rPr>
      <t xml:space="preserve">actual: </t>
    </r>
    <r>
      <rPr>
        <b/>
        <sz val="12"/>
        <color rgb="FF000000"/>
        <rFont val="Times New Roman"/>
        <family val="1"/>
      </rPr>
      <t>28%</t>
    </r>
  </si>
  <si>
    <r>
      <t xml:space="preserve">Phil Spencer expected Game Pass to remain around </t>
    </r>
    <r>
      <rPr>
        <b/>
        <sz val="12"/>
        <color rgb="FF000000"/>
        <rFont val="Times New Roman"/>
        <family val="1"/>
      </rPr>
      <t xml:space="preserve">15% of Xbox content/services revenue, </t>
    </r>
    <r>
      <rPr>
        <sz val="12"/>
        <color rgb="FF000000"/>
        <rFont val="Times New Roman"/>
        <family val="1"/>
      </rPr>
      <t xml:space="preserve">rather than becoming the dominant model. </t>
    </r>
  </si>
  <si>
    <t>Dolphins:</t>
  </si>
  <si>
    <t>Then 10% of Whales move to Gold:</t>
  </si>
  <si>
    <t>Proposed Platinum = $39.99</t>
  </si>
  <si>
    <t>1. New Subscriber numbers</t>
  </si>
  <si>
    <t xml:space="preserve">Minnows: </t>
  </si>
  <si>
    <t xml:space="preserve">Dolphins: </t>
  </si>
  <si>
    <t xml:space="preserve">Whales: </t>
  </si>
  <si>
    <t>Q2. Based on the revenues and retention rates of the gamer categories of Whales, Dolphins, and Minnows projected in the case, calculate the incremental gains that Microsoft could expect by adopting the proposed usage-based pricing plan. What are your insights and recommendations based on your revenue modeling? How can Microsoft mitigate the risks of moving to the usage-based model?</t>
  </si>
  <si>
    <t>The case divides current subscribers as: </t>
  </si>
  <si>
    <t>Segment</t>
  </si>
  <si>
    <t>Percentage</t>
  </si>
  <si>
    <t>Minnows</t>
  </si>
  <si>
    <t>Dolphins</t>
  </si>
  <si>
    <t>Whales</t>
  </si>
  <si>
    <t>Current Subscribers</t>
  </si>
  <si>
    <t>Total</t>
  </si>
  <si>
    <t>25 million</t>
  </si>
  <si>
    <t>18.75 million</t>
  </si>
  <si>
    <t>3.75 million</t>
  </si>
  <si>
    <t>2.50 million</t>
  </si>
  <si>
    <t>The proposed prices are:</t>
  </si>
  <si>
    <t>The case assumes: </t>
  </si>
  <si>
    <t>10% of current Whales leave or downgrade to Gold</t>
  </si>
  <si>
    <t>Therefore, 90% of Whales remain Platinum. </t>
  </si>
  <si>
    <r>
      <t>Minnows/Silver:</t>
    </r>
    <r>
      <rPr>
        <sz val="20"/>
        <color rgb="FF000000"/>
        <rFont val="Times New Roman"/>
        <family val="1"/>
      </rPr>
      <t xml:space="preserve"> $9.99</t>
    </r>
  </si>
  <si>
    <r>
      <t>Dolphins/Gold:</t>
    </r>
    <r>
      <rPr>
        <sz val="20"/>
        <color rgb="FF000000"/>
        <rFont val="Times New Roman"/>
        <family val="1"/>
      </rPr>
      <t xml:space="preserve"> $24.99</t>
    </r>
  </si>
  <si>
    <r>
      <t>Whales/Platinum:</t>
    </r>
    <r>
      <rPr>
        <sz val="20"/>
        <color rgb="FF000000"/>
        <rFont val="Times New Roman"/>
        <family val="1"/>
      </rPr>
      <t xml:space="preserve"> $39.99</t>
    </r>
  </si>
  <si>
    <r>
      <t xml:space="preserve">Minnows grow </t>
    </r>
    <r>
      <rPr>
        <b/>
        <sz val="20"/>
        <color rgb="FF000000"/>
        <rFont val="Times New Roman"/>
        <family val="1"/>
      </rPr>
      <t>25%</t>
    </r>
  </si>
  <si>
    <r>
      <t xml:space="preserve">Dolphins grow </t>
    </r>
    <r>
      <rPr>
        <b/>
        <sz val="20"/>
        <color rgb="FF000000"/>
        <rFont val="Times New Roman"/>
        <family val="1"/>
      </rPr>
      <t>10%</t>
    </r>
  </si>
  <si>
    <t>23.4375M</t>
  </si>
  <si>
    <t>(calculations)</t>
  </si>
  <si>
    <t>4.125M</t>
  </si>
  <si>
    <t>18.75M * 1.25=</t>
  </si>
  <si>
    <t>3.75M * 1.10=</t>
  </si>
  <si>
    <t xml:space="preserve">2.5M * 10%= </t>
  </si>
  <si>
    <t>0.25M</t>
  </si>
  <si>
    <r>
      <t xml:space="preserve">4.125M + 0.25M = </t>
    </r>
    <r>
      <rPr>
        <b/>
        <sz val="20"/>
        <color theme="1"/>
        <rFont val="Times New Roman"/>
        <family val="1"/>
      </rPr>
      <t>4.375M Dolphins</t>
    </r>
  </si>
  <si>
    <t>2.5M * 10%=</t>
  </si>
  <si>
    <t>2. Monthly Revenue</t>
  </si>
  <si>
    <t>$234.14M</t>
  </si>
  <si>
    <t xml:space="preserve">23.4375M * $9.99 </t>
  </si>
  <si>
    <t>4.375M * $24.99</t>
  </si>
  <si>
    <t>$109.33M</t>
  </si>
  <si>
    <t>Monthly Revenue</t>
  </si>
  <si>
    <t>Result</t>
  </si>
  <si>
    <t>2.25M * $39.99</t>
  </si>
  <si>
    <t>$89.98M</t>
  </si>
  <si>
    <t xml:space="preserve">$234.14M + $109.33M + $89.98M </t>
  </si>
  <si>
    <t>$433.45M/month</t>
  </si>
  <si>
    <t>New Subscriber numbers</t>
  </si>
  <si>
    <t>Calculations Written out</t>
  </si>
  <si>
    <t>4.125M + 0.25M = 4.375M Dolphins</t>
  </si>
  <si>
    <t xml:space="preserve">Current Model: </t>
  </si>
  <si>
    <t xml:space="preserve">25M * $14.99 = </t>
  </si>
  <si>
    <t>$374.75M/month</t>
  </si>
  <si>
    <t>$433.45M - $374.75</t>
  </si>
  <si>
    <t>$58.70M</t>
  </si>
  <si>
    <t xml:space="preserve">Annualized: </t>
  </si>
  <si>
    <t>$58.70M * 12 =</t>
  </si>
  <si>
    <t>Approximately $704.4M additional annual revenue</t>
  </si>
  <si>
    <t xml:space="preserve">This is huge. </t>
  </si>
  <si>
    <t xml:space="preserve">The model makes model by charging the heavy users more: </t>
  </si>
  <si>
    <r>
      <t xml:space="preserve">This looks attractive financially, </t>
    </r>
    <r>
      <rPr>
        <b/>
        <sz val="20"/>
        <color theme="1"/>
        <rFont val="Times New Roman"/>
        <family val="1"/>
      </rPr>
      <t xml:space="preserve">but there is a major risk. </t>
    </r>
  </si>
  <si>
    <t>Current Whale Price = $14.99</t>
  </si>
  <si>
    <t xml:space="preserve">Insights: </t>
  </si>
  <si>
    <t>The case proposes: </t>
  </si>
  <si>
    <r>
      <t xml:space="preserve">Dolphins get a </t>
    </r>
    <r>
      <rPr>
        <b/>
        <sz val="20"/>
        <color rgb="FF000000"/>
        <rFont val="Times New Roman"/>
        <family val="1"/>
      </rPr>
      <t>10% discount</t>
    </r>
  </si>
  <si>
    <r>
      <t xml:space="preserve">Whales get a </t>
    </r>
    <r>
      <rPr>
        <b/>
        <sz val="20"/>
        <color rgb="FF000000"/>
        <rFont val="Times New Roman"/>
        <family val="1"/>
      </rPr>
      <t>25% discount</t>
    </r>
  </si>
  <si>
    <r>
      <t xml:space="preserve">Dolphin monthly spending increases from </t>
    </r>
    <r>
      <rPr>
        <b/>
        <sz val="20"/>
        <color rgb="FF000000"/>
        <rFont val="Times New Roman"/>
        <family val="1"/>
      </rPr>
      <t>$15 → $20</t>
    </r>
  </si>
  <si>
    <r>
      <t xml:space="preserve">Whale monthly spending increases from </t>
    </r>
    <r>
      <rPr>
        <b/>
        <sz val="20"/>
        <color rgb="FF000000"/>
        <rFont val="Times New Roman"/>
        <family val="1"/>
      </rPr>
      <t>$30 → $40</t>
    </r>
  </si>
  <si>
    <r>
      <t>Whale</t>
    </r>
    <r>
      <rPr>
        <b/>
        <sz val="20"/>
        <color rgb="FF000000"/>
        <rFont val="Times New Roman"/>
        <family val="1"/>
      </rPr>
      <t xml:space="preserve"> </t>
    </r>
    <r>
      <rPr>
        <sz val="20"/>
        <color rgb="FF000000"/>
        <rFont val="Times New Roman"/>
        <family val="1"/>
      </rPr>
      <t>retention increases from</t>
    </r>
    <r>
      <rPr>
        <b/>
        <sz val="20"/>
        <color rgb="FF000000"/>
        <rFont val="Times New Roman"/>
        <family val="1"/>
      </rPr>
      <t xml:space="preserve"> 90% → 95%</t>
    </r>
  </si>
  <si>
    <r>
      <t>Dolphin growth increases from</t>
    </r>
    <r>
      <rPr>
        <b/>
        <sz val="20"/>
        <color rgb="FF000000"/>
        <rFont val="Times New Roman"/>
        <family val="1"/>
      </rPr>
      <t xml:space="preserve"> 10% → 15%</t>
    </r>
  </si>
  <si>
    <r>
      <t xml:space="preserve">Minnow growth stays at </t>
    </r>
    <r>
      <rPr>
        <b/>
        <sz val="20"/>
        <color rgb="FF000000"/>
        <rFont val="Times New Roman"/>
        <family val="1"/>
      </rPr>
      <t>25%</t>
    </r>
  </si>
  <si>
    <t>Q3. How much incremental revenue could Microsoft expect if it added member deals and discounts to the usage-based program, based on the higher retention rates of Whales and Dolphins and the incremental revenues produced by purchases of games through the discount program? Would this be an effective strategy?</t>
  </si>
  <si>
    <t xml:space="preserve">New Dolphins: </t>
  </si>
  <si>
    <t xml:space="preserve">3.75M * 1.15 = </t>
  </si>
  <si>
    <t>4.3125M</t>
  </si>
  <si>
    <t>Plus 5% of Whales remaining in the Gold tier: </t>
  </si>
  <si>
    <t xml:space="preserve">2.5 * 5% = </t>
  </si>
  <si>
    <t>(Calculations)</t>
  </si>
  <si>
    <t>0.125M</t>
  </si>
  <si>
    <t>4.4375M Dolphins</t>
  </si>
  <si>
    <t xml:space="preserve">New Whales: </t>
  </si>
  <si>
    <t>2.5M * 95% = </t>
  </si>
  <si>
    <t>2.375M</t>
  </si>
  <si>
    <t xml:space="preserve">Subscription Revenue: </t>
  </si>
  <si>
    <t>23.4375 * $9.99</t>
  </si>
  <si>
    <t>2.375M * $39.99</t>
  </si>
  <si>
    <t>$94.98M</t>
  </si>
  <si>
    <t xml:space="preserve">Total: </t>
  </si>
  <si>
    <t>4.3125M + 0.125M = 4.4375M Dolphins</t>
  </si>
  <si>
    <t>Rounded:</t>
  </si>
  <si>
    <t>$110.89M</t>
  </si>
  <si>
    <t>$234.140625M + $110.893125M + $94.97625M</t>
  </si>
  <si>
    <t>Original:</t>
  </si>
  <si>
    <t>$440.01M/month</t>
  </si>
  <si>
    <t>Annual:</t>
  </si>
  <si>
    <t>$65.26M/month</t>
  </si>
  <si>
    <t>$783.12M/year</t>
  </si>
  <si>
    <t>Incremental spending</t>
  </si>
  <si>
    <t>Current Dolphins = 3.75 Million</t>
  </si>
  <si>
    <t>Dolphin Growth = 15%</t>
  </si>
  <si>
    <t>5% of the original Whales move to the Dolphin/Gold tier:</t>
  </si>
  <si>
    <t xml:space="preserve">2.5M * 5%= </t>
  </si>
  <si>
    <t>New Whales:</t>
  </si>
  <si>
    <t>Whales retention increases from 90% --&gt; 95%</t>
  </si>
  <si>
    <t xml:space="preserve">2.5M * 95%= </t>
  </si>
  <si>
    <t>Minnows: Minnow growth stays at 25%:</t>
  </si>
  <si>
    <t xml:space="preserve">18.75M * 1.25= </t>
  </si>
  <si>
    <t xml:space="preserve">Revenue: </t>
  </si>
  <si>
    <t xml:space="preserve">23.4375M * $9.99= </t>
  </si>
  <si>
    <t>$234.140625M</t>
  </si>
  <si>
    <t>4.4375M * $24.99</t>
  </si>
  <si>
    <t xml:space="preserve">Rounded: </t>
  </si>
  <si>
    <t>Estimated ~ $440.01M/month</t>
  </si>
  <si>
    <t>$440.01million/month</t>
  </si>
  <si>
    <t>Compare:</t>
  </si>
  <si>
    <t>Compared with the original model:</t>
  </si>
  <si>
    <t xml:space="preserve">25M * $14.99= </t>
  </si>
  <si>
    <t xml:space="preserve">New: </t>
  </si>
  <si>
    <t xml:space="preserve">Incremental: </t>
  </si>
  <si>
    <t xml:space="preserve">$440.01M - $374.75M = </t>
  </si>
  <si>
    <t xml:space="preserve">$65.26M * 12= </t>
  </si>
  <si>
    <t>Subscription Revenue Increase:</t>
  </si>
  <si>
    <t xml:space="preserve">Important issue with the game-purchase calculation: </t>
  </si>
  <si>
    <t>“based on the higher retention rates of Whales and Dolphins and the incremental revenues produced by purchases of games through the discount program”</t>
  </si>
  <si>
    <r>
      <t xml:space="preserve">The $20 and $40 figured in the case are </t>
    </r>
    <r>
      <rPr>
        <b/>
        <sz val="20"/>
        <color theme="1"/>
        <rFont val="Times New Roman"/>
        <family val="1"/>
      </rPr>
      <t xml:space="preserve"> increases in monthly spending, </t>
    </r>
    <r>
      <rPr>
        <sz val="20"/>
        <color theme="1"/>
        <rFont val="Times New Roman"/>
        <family val="1"/>
      </rPr>
      <t xml:space="preserve"> not necessarily the entire amount of game purchases</t>
    </r>
  </si>
  <si>
    <t xml:space="preserve">We need to distinguish: </t>
  </si>
  <si>
    <t>Current spending:</t>
  </si>
  <si>
    <t>New spending:</t>
  </si>
  <si>
    <t xml:space="preserve">Incremental spending: </t>
  </si>
  <si>
    <r>
      <t xml:space="preserve">Microsofts </t>
    </r>
    <r>
      <rPr>
        <b/>
        <sz val="20"/>
        <color theme="1"/>
        <rFont val="Times New Roman"/>
        <family val="1"/>
      </rPr>
      <t>30% share:</t>
    </r>
  </si>
  <si>
    <r>
      <t xml:space="preserve">If the case says Dolphins spending increases from </t>
    </r>
    <r>
      <rPr>
        <b/>
        <sz val="20"/>
        <color theme="1"/>
        <rFont val="Times New Roman"/>
        <family val="1"/>
      </rPr>
      <t>$15 to $20</t>
    </r>
    <r>
      <rPr>
        <sz val="20"/>
        <color theme="1"/>
        <rFont val="Times New Roman"/>
        <family val="1"/>
      </rPr>
      <t xml:space="preserve">, then the incremental spending is </t>
    </r>
    <r>
      <rPr>
        <b/>
        <sz val="20"/>
        <color theme="1"/>
        <rFont val="Times New Roman"/>
        <family val="1"/>
      </rPr>
      <t>$5</t>
    </r>
    <r>
      <rPr>
        <sz val="20"/>
        <color theme="1"/>
        <rFont val="Times New Roman"/>
        <family val="1"/>
      </rPr>
      <t>, not $20</t>
    </r>
  </si>
  <si>
    <r>
      <t xml:space="preserve">Dolphins: $15 --&gt; $20 = </t>
    </r>
    <r>
      <rPr>
        <b/>
        <sz val="20"/>
        <color theme="1"/>
        <rFont val="Times New Roman"/>
        <family val="1"/>
      </rPr>
      <t>+$5</t>
    </r>
  </si>
  <si>
    <r>
      <t xml:space="preserve">Whales: $30 --&gt; $40 = </t>
    </r>
    <r>
      <rPr>
        <b/>
        <sz val="20"/>
        <color theme="1"/>
        <rFont val="Times New Roman"/>
        <family val="1"/>
      </rPr>
      <t>+$10</t>
    </r>
  </si>
  <si>
    <t>1. Dolphin game-purchase revenue</t>
  </si>
  <si>
    <t>2. Whale game-purchase revenue</t>
  </si>
  <si>
    <t>Incremental game-purchase revenue</t>
  </si>
  <si>
    <t>Total incremental revenue</t>
  </si>
  <si>
    <t>Game Purchase Revenue</t>
  </si>
  <si>
    <t>New customers</t>
  </si>
  <si>
    <t>4.4375M</t>
  </si>
  <si>
    <t>Current monthly spending</t>
  </si>
  <si>
    <t>New monthly spending</t>
  </si>
  <si>
    <t>Microsoft's share</t>
  </si>
  <si>
    <t>Incremental monthly revenue to Microsoft</t>
  </si>
  <si>
    <t>$6.65625M</t>
  </si>
  <si>
    <t>$7.125M</t>
  </si>
  <si>
    <t>Incremental annual revenue</t>
  </si>
  <si>
    <t>$79.875M</t>
  </si>
  <si>
    <t>$85.5M</t>
  </si>
  <si>
    <t>Q3 Revenue</t>
  </si>
  <si>
    <t>Amount</t>
  </si>
  <si>
    <t>Incremental subscription revenue</t>
  </si>
  <si>
    <t>$783.12M</t>
  </si>
  <si>
    <t>$165.375M</t>
  </si>
  <si>
    <t>$948.495M</t>
  </si>
  <si>
    <t>Dolphins spending increases from $15 --&gt; $20</t>
  </si>
  <si>
    <t>Whales spending increases from $30 --&gt; $40</t>
  </si>
  <si>
    <r>
      <t xml:space="preserve">Dolphins: $20 - $15 = </t>
    </r>
    <r>
      <rPr>
        <b/>
        <sz val="20"/>
        <color theme="1"/>
        <rFont val="Times New Roman"/>
        <family val="1"/>
      </rPr>
      <t>$5 incremental spending</t>
    </r>
  </si>
  <si>
    <r>
      <t xml:space="preserve">Whales: $40 - $30 = </t>
    </r>
    <r>
      <rPr>
        <b/>
        <sz val="20"/>
        <color theme="1"/>
        <rFont val="Times New Roman"/>
        <family val="1"/>
      </rPr>
      <t>$10 incremental spending</t>
    </r>
  </si>
  <si>
    <r>
      <t xml:space="preserve">Microsoft receives </t>
    </r>
    <r>
      <rPr>
        <b/>
        <sz val="20"/>
        <color theme="1"/>
        <rFont val="Times New Roman"/>
        <family val="1"/>
      </rPr>
      <t>30%</t>
    </r>
    <r>
      <rPr>
        <sz val="20"/>
        <color theme="1"/>
        <rFont val="Times New Roman"/>
        <family val="1"/>
      </rPr>
      <t xml:space="preserve"> of game-store revenue because publishers receive 70% </t>
    </r>
  </si>
  <si>
    <r>
      <t xml:space="preserve">Incremental spending per Dolphin = </t>
    </r>
    <r>
      <rPr>
        <b/>
        <sz val="20"/>
        <color theme="1"/>
        <rFont val="Times New Roman"/>
        <family val="1"/>
      </rPr>
      <t>$5/month</t>
    </r>
  </si>
  <si>
    <r>
      <t xml:space="preserve">Microsoft's share = </t>
    </r>
    <r>
      <rPr>
        <b/>
        <sz val="20"/>
        <color theme="1"/>
        <rFont val="Times New Roman"/>
        <family val="1"/>
      </rPr>
      <t>30%</t>
    </r>
  </si>
  <si>
    <r>
      <t xml:space="preserve">We have </t>
    </r>
    <r>
      <rPr>
        <b/>
        <sz val="20"/>
        <color theme="1"/>
        <rFont val="Times New Roman"/>
        <family val="1"/>
      </rPr>
      <t>4.4375 million Dolphins.</t>
    </r>
  </si>
  <si>
    <t xml:space="preserve">4.4375M * $5 * 30% = </t>
  </si>
  <si>
    <t>$6.65625M/month</t>
  </si>
  <si>
    <t xml:space="preserve">Annual: </t>
  </si>
  <si>
    <t xml:space="preserve">$6.65625M * 12 = </t>
  </si>
  <si>
    <t>$79.875M/year</t>
  </si>
  <si>
    <t>Dolphins = $79.875M incremental annual revenue</t>
  </si>
  <si>
    <r>
      <t xml:space="preserve">We have </t>
    </r>
    <r>
      <rPr>
        <b/>
        <sz val="20"/>
        <color theme="1"/>
        <rFont val="Times New Roman"/>
        <family val="1"/>
      </rPr>
      <t>2.375 million Whales.</t>
    </r>
  </si>
  <si>
    <r>
      <t xml:space="preserve">Incremental spending per Whale = </t>
    </r>
    <r>
      <rPr>
        <b/>
        <sz val="20"/>
        <color theme="1"/>
        <rFont val="Times New Roman"/>
        <family val="1"/>
      </rPr>
      <t>$10/month</t>
    </r>
  </si>
  <si>
    <t xml:space="preserve">2.375M * $10 * 30% = </t>
  </si>
  <si>
    <t>$7.125M/month</t>
  </si>
  <si>
    <t xml:space="preserve">$7.125M * 12 = </t>
  </si>
  <si>
    <t>$85.5M/year</t>
  </si>
  <si>
    <t>Whales = $85.5M incremental annual revenue</t>
  </si>
  <si>
    <t>3. Total Incremental game-purhcase revenue</t>
  </si>
  <si>
    <t xml:space="preserve">$79.875M + $85.5M = </t>
  </si>
  <si>
    <t>$165.375M additional annual game-purchase revenue</t>
  </si>
  <si>
    <t xml:space="preserve">$783.12M + $165.375M = </t>
  </si>
  <si>
    <t>Total estimated incremental annual revenue</t>
  </si>
  <si>
    <t>~ $948.50 million</t>
  </si>
  <si>
    <t>Subscription revenue increase: $783.12M/year</t>
  </si>
  <si>
    <t>Incremental game-purchase revenue: $165.375M/year</t>
  </si>
  <si>
    <t>Total Incremental revenue: $948.495M/year</t>
  </si>
  <si>
    <t>Q4. Calculate the incremental revenues from implementing the Xbox Rewards loyalty program. (Remember to account for the increase in customer lifetime value and offset it against the redemption cost of reward points.) Based on your analysis, how do you think segment-level revenues and profits differ between loyalty- and usage-based pricing programs?</t>
  </si>
  <si>
    <t>Current Churn</t>
  </si>
  <si>
    <t>New Churn</t>
  </si>
  <si>
    <t>The loyalty program changes churn from: </t>
  </si>
  <si>
    <t>The case defines customer lifetime as essentially 1/monthly churn</t>
  </si>
  <si>
    <t>Lifetime monthly numbers: </t>
  </si>
  <si>
    <t>Current Lifetime</t>
  </si>
  <si>
    <t>New Lifetime</t>
  </si>
  <si>
    <t>Increase</t>
  </si>
  <si>
    <t>20 months</t>
  </si>
  <si>
    <t>22.22 months</t>
  </si>
  <si>
    <t>+2.22 months</t>
  </si>
  <si>
    <t>25 months</t>
  </si>
  <si>
    <t>33.33 months</t>
  </si>
  <si>
    <t>+8.33 months</t>
  </si>
  <si>
    <t>50 months</t>
  </si>
  <si>
    <t>+16.67 months</t>
  </si>
  <si>
    <r>
      <t xml:space="preserve">The reward structure is 10,000 Welcome Points, 1 point per minute played, and 20,000 Anniversary Points for every 12 months. Points redeem at </t>
    </r>
    <r>
      <rPr>
        <b/>
        <sz val="20"/>
        <color rgb="FF000000"/>
        <rFont val="Times New Roman"/>
        <family val="1"/>
      </rPr>
      <t xml:space="preserve">2,000 points = $1. </t>
    </r>
  </si>
  <si>
    <t>1. Incremental subscription revenue</t>
  </si>
  <si>
    <r>
      <t xml:space="preserve">We're using the original </t>
    </r>
    <r>
      <rPr>
        <b/>
        <sz val="20"/>
        <color rgb="FF000000"/>
        <rFont val="Times New Roman"/>
        <family val="1"/>
      </rPr>
      <t xml:space="preserve">$14.99/month </t>
    </r>
    <r>
      <rPr>
        <sz val="20"/>
        <color rgb="FF000000"/>
        <rFont val="Times New Roman"/>
        <family val="1"/>
      </rPr>
      <t xml:space="preserve"> subscription because the loyalty program doesn't change the price. </t>
    </r>
  </si>
  <si>
    <t>Minnows: </t>
  </si>
  <si>
    <t>18.75M subscribers * $14.99 * 2.22 additional months</t>
  </si>
  <si>
    <t>3.75M * $14.99 * 8.33 additional months</t>
  </si>
  <si>
    <t>3.75*14.99*((1/3%)-(1/4%))</t>
  </si>
  <si>
    <t>Rounded: $468.44M</t>
  </si>
  <si>
    <t>2.5M * $14.99 * 16.67 additional months</t>
  </si>
  <si>
    <r>
      <t xml:space="preserve">Rounded: </t>
    </r>
    <r>
      <rPr>
        <b/>
        <sz val="20"/>
        <color rgb="FF000000"/>
        <rFont val="Times New Roman"/>
        <family val="1"/>
      </rPr>
      <t>$624.71M</t>
    </r>
  </si>
  <si>
    <t xml:space="preserve">Total additional subscription revenue: </t>
  </si>
  <si>
    <t>2. Calculate reward costs</t>
  </si>
  <si>
    <r>
      <t xml:space="preserve">Because </t>
    </r>
    <r>
      <rPr>
        <b/>
        <sz val="20"/>
        <color rgb="FF000000"/>
        <rFont val="Times New Roman"/>
        <family val="1"/>
      </rPr>
      <t xml:space="preserve">2,000 points = $1, </t>
    </r>
    <r>
      <rPr>
        <sz val="20"/>
        <color rgb="FF000000"/>
        <rFont val="Times New Roman"/>
        <family val="1"/>
      </rPr>
      <t>we can convert the rewards into dollar costs. </t>
    </r>
  </si>
  <si>
    <t xml:space="preserve">The case gives us average usage of: </t>
  </si>
  <si>
    <t>Minnows = 1,000 minutes/month</t>
  </si>
  <si>
    <t>Dolphins = 2,000 minutes/month</t>
  </si>
  <si>
    <t>Whales = 7,200 minutes/month</t>
  </si>
  <si>
    <t>Welcome Points</t>
  </si>
  <si>
    <r>
      <t>10,000 / 2,000</t>
    </r>
    <r>
      <rPr>
        <b/>
        <sz val="20"/>
        <color rgb="FF000000"/>
        <rFont val="Times New Roman"/>
        <family val="1"/>
      </rPr>
      <t xml:space="preserve"> = $5</t>
    </r>
  </si>
  <si>
    <r>
      <t>Every subscriber gets approximately</t>
    </r>
    <r>
      <rPr>
        <b/>
        <sz val="20"/>
        <color rgb="FF000000"/>
        <rFont val="Times New Roman"/>
        <family val="1"/>
      </rPr>
      <t xml:space="preserve"> $5 of reward value </t>
    </r>
    <r>
      <rPr>
        <sz val="20"/>
        <color rgb="FF000000"/>
        <rFont val="Times New Roman"/>
        <family val="1"/>
      </rPr>
      <t>from Welcome Points. </t>
    </r>
  </si>
  <si>
    <t>Play Points</t>
  </si>
  <si>
    <t>Since its 1 point per minute: </t>
  </si>
  <si>
    <t>Monthly minutes / 2,000 = monthly reward cost</t>
  </si>
  <si>
    <r>
      <t xml:space="preserve">Minnow: 1,000 / 2,000 = </t>
    </r>
    <r>
      <rPr>
        <b/>
        <sz val="20"/>
        <color rgb="FF000000"/>
        <rFont val="Times New Roman"/>
        <family val="1"/>
      </rPr>
      <t>$0.50/month</t>
    </r>
  </si>
  <si>
    <r>
      <t xml:space="preserve">Dolphin: 2,000 / 2,000 </t>
    </r>
    <r>
      <rPr>
        <b/>
        <sz val="20"/>
        <color rgb="FF000000"/>
        <rFont val="Times New Roman"/>
        <family val="1"/>
      </rPr>
      <t>= $1/month</t>
    </r>
  </si>
  <si>
    <r>
      <t>Whale: 7,200 / 2,000</t>
    </r>
    <r>
      <rPr>
        <b/>
        <sz val="20"/>
        <color rgb="FF000000"/>
        <rFont val="Times New Roman"/>
        <family val="1"/>
      </rPr>
      <t xml:space="preserve"> = $3.60/month</t>
    </r>
  </si>
  <si>
    <t>Anniversary Points</t>
  </si>
  <si>
    <r>
      <t>20,000 / 2,000 =</t>
    </r>
    <r>
      <rPr>
        <b/>
        <sz val="20"/>
        <color rgb="FF000000"/>
        <rFont val="Times New Roman"/>
        <family val="1"/>
      </rPr>
      <t xml:space="preserve"> $10 per anniversary</t>
    </r>
  </si>
  <si>
    <t>The new customer lifetimes are: </t>
  </si>
  <si>
    <r>
      <t xml:space="preserve">Minnows: 22.22 months → </t>
    </r>
    <r>
      <rPr>
        <b/>
        <sz val="20"/>
        <color rgb="FF000000"/>
        <rFont val="Times New Roman"/>
        <family val="1"/>
      </rPr>
      <t>1 anniversary</t>
    </r>
  </si>
  <si>
    <r>
      <t xml:space="preserve">Dolphins: 33.33 months → </t>
    </r>
    <r>
      <rPr>
        <b/>
        <sz val="20"/>
        <color rgb="FF000000"/>
        <rFont val="Times New Roman"/>
        <family val="1"/>
      </rPr>
      <t> 2 anniversaries </t>
    </r>
  </si>
  <si>
    <r>
      <t xml:space="preserve">Whales: 50 months → </t>
    </r>
    <r>
      <rPr>
        <b/>
        <sz val="20"/>
        <color rgb="FF000000"/>
        <rFont val="Times New Roman"/>
        <family val="1"/>
      </rPr>
      <t>4 anniversaries </t>
    </r>
  </si>
  <si>
    <t>Minnow: </t>
  </si>
  <si>
    <t>Welcome = $5</t>
  </si>
  <si>
    <t>Play = 1,000 * 22.22 / 2,000 = </t>
  </si>
  <si>
    <t>Anniversary = $10</t>
  </si>
  <si>
    <t>Total = $26.11 per Minnow</t>
  </si>
  <si>
    <t>18.75M * $26.11 = </t>
  </si>
  <si>
    <t>Rounded: $489.56M</t>
  </si>
  <si>
    <t>Anniversary = $20</t>
  </si>
  <si>
    <t>Total = $58.33 per Dolphin</t>
  </si>
  <si>
    <t>3.75M * $58.33 = 218.7375</t>
  </si>
  <si>
    <t>Rounded: $218.74M</t>
  </si>
  <si>
    <t>Dolphin:</t>
  </si>
  <si>
    <t>Whale:</t>
  </si>
  <si>
    <r>
      <t xml:space="preserve">Play = 7,200 * 50 / 2,000 = </t>
    </r>
    <r>
      <rPr>
        <b/>
        <sz val="20"/>
        <color rgb="FF000000"/>
        <rFont val="Times New Roman"/>
        <family val="1"/>
      </rPr>
      <t>$180</t>
    </r>
  </si>
  <si>
    <t>Anniversary = $40</t>
  </si>
  <si>
    <t>2.5M * $225 = 562.5</t>
  </si>
  <si>
    <t>Rounded: $562.50M</t>
  </si>
  <si>
    <t>Segment </t>
  </si>
  <si>
    <t>Reward Cost</t>
  </si>
  <si>
    <t>$489.56M</t>
  </si>
  <si>
    <t>$218.74M</t>
  </si>
  <si>
    <t>$562.50M</t>
  </si>
  <si>
    <t>$1,270.80M</t>
  </si>
  <si>
    <t>4. Total reward cost</t>
  </si>
  <si>
    <t>3. Total reward cost per customer</t>
  </si>
  <si>
    <t>5. Subtract reward costs</t>
  </si>
  <si>
    <t>We have: </t>
  </si>
  <si>
    <r>
      <rPr>
        <b/>
        <sz val="20"/>
        <color rgb="FF000000"/>
        <rFont val="Times New Roman"/>
        <family val="1"/>
      </rPr>
      <t>Reward cost:</t>
    </r>
    <r>
      <rPr>
        <sz val="20"/>
        <color rgb="FF000000"/>
        <rFont val="Times New Roman"/>
        <family val="1"/>
      </rPr>
      <t xml:space="preserve"> - $1,270.80M </t>
    </r>
  </si>
  <si>
    <t>6. Segment-Level Results</t>
  </si>
  <si>
    <t>Incremental Revenue</t>
  </si>
  <si>
    <t>Net Incremental Revenue</t>
  </si>
  <si>
    <t>$623.96M</t>
  </si>
  <si>
    <t>$624.71M</t>
  </si>
  <si>
    <t>$62.21M</t>
  </si>
  <si>
    <t>(Number who downgrade, not who remain whales)</t>
  </si>
  <si>
    <t xml:space="preserve">Whales Remaining: </t>
  </si>
  <si>
    <t>Current dolphin lifetime: 1 / 4%=25 months</t>
  </si>
  <si>
    <t>New dolphin lifetime: 1 / 3% = 33.3333 months</t>
  </si>
  <si>
    <t>Increase: </t>
  </si>
  <si>
    <t>33.3333 - 25 = 8.3333</t>
  </si>
  <si>
    <t>Revenue: </t>
  </si>
  <si>
    <t xml:space="preserve">3.75M * $14.99 * 8.3333 = </t>
  </si>
  <si>
    <t>$623.96M + $468.44M + $624.71</t>
  </si>
  <si>
    <t>$1,717.11 million incremental subscription revenue</t>
  </si>
  <si>
    <t>Total = $225 per customer</t>
  </si>
  <si>
    <r>
      <t>Incremental subscription revenue:</t>
    </r>
    <r>
      <rPr>
        <sz val="20"/>
        <color rgb="FF000000"/>
        <rFont val="Times New Roman"/>
        <family val="1"/>
      </rPr>
      <t xml:space="preserve"> $1,717.11M</t>
    </r>
  </si>
  <si>
    <t>Minnows = $489.56M</t>
  </si>
  <si>
    <t>Dolphins = $218.74M</t>
  </si>
  <si>
    <t>Whales = $562.50M</t>
  </si>
  <si>
    <t xml:space="preserve">1717.11 - 1270.80 = </t>
  </si>
  <si>
    <t>Net incremental revenue: $446.31 million</t>
  </si>
  <si>
    <t>$468.44M</t>
  </si>
  <si>
    <t>$1,717.11M</t>
  </si>
  <si>
    <t>$134.40M</t>
  </si>
  <si>
    <t>$249.70M</t>
  </si>
  <si>
    <t>Dolphins = $468.44M and Whales = $624.71M</t>
  </si>
  <si>
    <t>Net Incremental Revenue from Xbox Rewards = $446.31M</t>
  </si>
  <si>
    <t>Total: $948.495M/year</t>
  </si>
  <si>
    <t>Approximately $783.12M</t>
  </si>
  <si>
    <r>
      <t xml:space="preserve">Question asks for </t>
    </r>
    <r>
      <rPr>
        <b/>
        <sz val="20"/>
        <color theme="1"/>
        <rFont val="Times New Roman"/>
        <family val="1"/>
      </rPr>
      <t xml:space="preserve">incremental revenues produced by purchases of games, </t>
    </r>
    <r>
      <rPr>
        <sz val="20"/>
        <color theme="1"/>
        <rFont val="Times New Roman"/>
        <family val="1"/>
      </rPr>
      <t xml:space="preserve">we should use the </t>
    </r>
    <r>
      <rPr>
        <b/>
        <sz val="20"/>
        <color theme="1"/>
        <rFont val="Times New Roman"/>
        <family val="1"/>
      </rPr>
      <t>increase</t>
    </r>
    <r>
      <rPr>
        <sz val="20"/>
        <color theme="1"/>
        <rFont val="Times New Roman"/>
        <family val="1"/>
      </rPr>
      <t>, not the entire $20/$40</t>
    </r>
  </si>
  <si>
    <t>Monthly Subscription Revenue:</t>
  </si>
  <si>
    <r>
      <t xml:space="preserve">Already Have: </t>
    </r>
    <r>
      <rPr>
        <b/>
        <sz val="20"/>
        <color theme="1"/>
        <rFont val="Times New Roman"/>
        <family val="1"/>
      </rPr>
      <t>$783.12M/year</t>
    </r>
    <r>
      <rPr>
        <sz val="20"/>
        <color theme="1"/>
        <rFont val="Times New Roman"/>
        <family val="1"/>
      </rPr>
      <t xml:space="preserve"> = Approximately $783.12M in incremental annual subscription revenue, additional subscritption revenue compared with the original $14.99 model</t>
    </r>
  </si>
  <si>
    <t>Rounded: $623.96M</t>
  </si>
  <si>
    <r>
      <t xml:space="preserve">Play = 2,000 * 33.33 / 2,000 = </t>
    </r>
    <r>
      <rPr>
        <b/>
        <sz val="20"/>
        <color rgb="FF000000"/>
        <rFont val="Times New Roman"/>
        <family val="1"/>
      </rPr>
      <t>$33.33</t>
    </r>
  </si>
  <si>
    <t>$446.31M</t>
  </si>
  <si>
    <t>Incremental Monthly Revenue:</t>
  </si>
  <si>
    <t xml:space="preserve">This is a substantial increase. </t>
  </si>
  <si>
    <t xml:space="preserve">The case specifically warns that Whales might reject the new model because they're accustomed to unlimited access for a fixed monthly price. </t>
  </si>
  <si>
    <t>4. Combine with subscription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</si>
</sst>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8" formatCode="0.000000"/>
  </numFmts>
  <fonts count="15" x14ac:knownFonts="1">
    <font>
      <sz val="12"/>
      <color theme="1"/>
      <name val="Aptos Narrow"/>
      <family val="2"/>
      <scheme val="minor"/>
    </font>
    <font>
      <b/>
      <sz val="12"/>
      <color theme="1"/>
      <name val="Aptos Narrow"/>
      <family val="2"/>
      <scheme val="minor"/>
    </font>
    <font>
      <sz val="12"/>
      <color rgb="FF000000"/>
      <name val="Times New Roman"/>
      <family val="1"/>
    </font>
    <font>
      <sz val="12"/>
      <color rgb="FFFF0000"/>
      <name val="Times New Roman"/>
      <family val="1"/>
    </font>
    <font>
      <b/>
      <sz val="12"/>
      <color rgb="FF000000"/>
      <name val="Times New Roman"/>
      <family val="1"/>
    </font>
    <font>
      <b/>
      <sz val="13.5"/>
      <color theme="1"/>
      <name val="Aptos Narrow"/>
      <family val="2"/>
      <scheme val="minor"/>
    </font>
    <font>
      <sz val="20"/>
      <color rgb="FF000000"/>
      <name val="Times New Roman"/>
      <family val="1"/>
    </font>
    <font>
      <sz val="20"/>
      <color theme="1"/>
      <name val="Aptos Narrow"/>
      <family val="2"/>
      <scheme val="minor"/>
    </font>
    <font>
      <b/>
      <sz val="20"/>
      <color rgb="FF000000"/>
      <name val="Times New Roman"/>
      <family val="1"/>
    </font>
    <font>
      <sz val="20"/>
      <color theme="1"/>
      <name val="Times New Roman"/>
      <family val="1"/>
    </font>
    <font>
      <b/>
      <sz val="20"/>
      <color theme="1"/>
      <name val="Times New Roman"/>
      <family val="1"/>
    </font>
    <font>
      <b/>
      <sz val="13"/>
      <color rgb="FF000000"/>
      <name val="Times New Roman"/>
      <family val="1"/>
    </font>
    <font>
      <b/>
      <sz val="18"/>
      <color theme="1"/>
      <name val="Aptos Narrow"/>
      <family val="2"/>
      <scheme val="minor"/>
    </font>
    <font>
      <b/>
      <sz val="24"/>
      <color theme="1"/>
      <name val="Aptos Narrow"/>
      <family val="2"/>
      <scheme val="minor"/>
    </font>
    <font>
      <sz val="20"/>
      <color rgb="FF434343"/>
      <name val="Times New Roman"/>
      <family val="1"/>
    </font>
  </fonts>
  <fills count="5">
    <fill>
      <patternFill patternType="none"/>
    </fill>
    <fill>
      <patternFill patternType="gray125"/>
    </fill>
    <fill>
      <patternFill patternType="solid">
        <fgColor rgb="FFFFD8FF"/>
        <bgColor indexed="64"/>
      </patternFill>
    </fill>
    <fill>
      <patternFill patternType="solid">
        <fgColor theme="5"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7">
    <xf numFmtId="0" fontId="0" fillId="0" borderId="0" xfId="0"/>
    <xf numFmtId="0" fontId="2" fillId="0" borderId="0" xfId="0" applyFont="1"/>
    <xf numFmtId="0" fontId="2" fillId="0" borderId="0" xfId="0" applyFont="1" applyAlignment="1">
      <alignment wrapText="1"/>
    </xf>
    <xf numFmtId="0" fontId="3" fillId="0" borderId="0" xfId="0" applyFont="1" applyAlignment="1">
      <alignment wrapText="1"/>
    </xf>
    <xf numFmtId="0" fontId="5" fillId="0" borderId="0" xfId="0" applyFont="1"/>
    <xf numFmtId="0" fontId="1" fillId="0" borderId="0" xfId="0" applyFont="1"/>
    <xf numFmtId="0" fontId="0" fillId="0" borderId="0" xfId="0" applyAlignment="1">
      <alignment vertical="top"/>
    </xf>
    <xf numFmtId="9" fontId="0" fillId="0" borderId="0" xfId="0" applyNumberForma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9" fillId="0" borderId="0" xfId="0" applyFont="1" applyAlignment="1">
      <alignment horizontal="right"/>
    </xf>
    <xf numFmtId="0" fontId="9" fillId="0" borderId="0" xfId="0" applyFont="1" applyAlignment="1">
      <alignment wrapText="1"/>
    </xf>
    <xf numFmtId="0" fontId="9" fillId="0" borderId="0" xfId="0" applyFont="1" applyAlignment="1">
      <alignment horizontal="right" indent="1"/>
    </xf>
    <xf numFmtId="0" fontId="9" fillId="2" borderId="0" xfId="0" applyFont="1" applyFill="1"/>
    <xf numFmtId="0" fontId="6" fillId="0" borderId="0" xfId="0" applyFont="1" applyAlignment="1">
      <alignment vertical="top" wrapText="1"/>
    </xf>
    <xf numFmtId="2" fontId="9" fillId="0" borderId="0" xfId="0" applyNumberFormat="1" applyFont="1" applyAlignment="1">
      <alignment horizontal="right" indent="1"/>
    </xf>
    <xf numFmtId="0" fontId="6" fillId="0" borderId="0" xfId="0" applyFont="1" applyAlignment="1">
      <alignment horizontal="right"/>
    </xf>
    <xf numFmtId="0" fontId="8" fillId="2" borderId="0" xfId="0" applyFont="1" applyFill="1"/>
    <xf numFmtId="0" fontId="11" fillId="0" borderId="0" xfId="0" applyFont="1"/>
    <xf numFmtId="0" fontId="10" fillId="0" borderId="0" xfId="0" applyFont="1"/>
    <xf numFmtId="0" fontId="12" fillId="0" borderId="0" xfId="0" applyFont="1"/>
    <xf numFmtId="0" fontId="13" fillId="0" borderId="0" xfId="0" applyFont="1"/>
    <xf numFmtId="0" fontId="2" fillId="0" borderId="0" xfId="0" applyFont="1" applyFill="1"/>
    <xf numFmtId="0" fontId="9" fillId="2" borderId="0" xfId="0" applyFont="1" applyFill="1" applyAlignment="1">
      <alignment wrapText="1"/>
    </xf>
    <xf numFmtId="6" fontId="0" fillId="0" borderId="0" xfId="0" applyNumberFormat="1"/>
    <xf numFmtId="6" fontId="1" fillId="0" borderId="0" xfId="0" applyNumberFormat="1" applyFont="1"/>
    <xf numFmtId="0" fontId="10" fillId="2" borderId="0" xfId="0" applyFont="1" applyFill="1"/>
    <xf numFmtId="0" fontId="2" fillId="2" borderId="0" xfId="0" applyFont="1" applyFill="1" applyAlignment="1">
      <alignment vertical="top" wrapText="1"/>
    </xf>
    <xf numFmtId="9" fontId="9" fillId="0" borderId="0" xfId="0" applyNumberFormat="1" applyFont="1"/>
    <xf numFmtId="10" fontId="9" fillId="0" borderId="0" xfId="0" applyNumberFormat="1" applyFont="1"/>
    <xf numFmtId="168" fontId="10" fillId="0" borderId="0" xfId="0" applyNumberFormat="1" applyFont="1"/>
    <xf numFmtId="0" fontId="8" fillId="0" borderId="0" xfId="0" applyFont="1" applyAlignment="1">
      <alignment wrapText="1"/>
    </xf>
    <xf numFmtId="0" fontId="8" fillId="3" borderId="0" xfId="0" applyFont="1" applyFill="1"/>
    <xf numFmtId="0" fontId="0" fillId="3" borderId="0" xfId="0" applyFill="1"/>
    <xf numFmtId="0" fontId="6" fillId="3" borderId="0" xfId="0" applyFont="1" applyFill="1"/>
    <xf numFmtId="0" fontId="9" fillId="3" borderId="0" xfId="0" applyFont="1" applyFill="1"/>
    <xf numFmtId="0" fontId="14" fillId="3" borderId="0" xfId="0" applyFont="1" applyFill="1"/>
    <xf numFmtId="0" fontId="10" fillId="3" borderId="0" xfId="0" applyFont="1" applyFill="1"/>
    <xf numFmtId="0" fontId="4" fillId="2" borderId="0" xfId="0" applyFont="1" applyFill="1" applyAlignment="1">
      <alignment vertical="top" wrapText="1"/>
    </xf>
    <xf numFmtId="0" fontId="6" fillId="2" borderId="0" xfId="0" applyFont="1" applyFill="1" applyAlignment="1">
      <alignment vertical="top" wrapText="1"/>
    </xf>
    <xf numFmtId="0" fontId="9" fillId="4" borderId="0" xfId="0" applyFont="1" applyFill="1"/>
    <xf numFmtId="0" fontId="10" fillId="4" borderId="0" xfId="0" applyFont="1" applyFill="1"/>
    <xf numFmtId="0" fontId="8" fillId="4" borderId="0" xfId="0" applyFont="1" applyFill="1"/>
    <xf numFmtId="0" fontId="1" fillId="4" borderId="0" xfId="0" applyFont="1" applyFill="1"/>
  </cellXfs>
  <cellStyles count="1">
    <cellStyle name="Normal" xfId="0" builtinId="0"/>
  </cellStyles>
  <dxfs count="5">
    <dxf>
      <font>
        <b val="0"/>
        <i val="0"/>
        <strike val="0"/>
        <condense val="0"/>
        <extend val="0"/>
        <outline val="0"/>
        <shadow val="0"/>
        <u val="none"/>
        <vertAlign val="baseline"/>
        <sz val="20"/>
        <color theme="1"/>
        <name val="Times New Roman"/>
        <family val="1"/>
        <scheme val="none"/>
      </font>
    </dxf>
    <dxf>
      <font>
        <b val="0"/>
        <i val="0"/>
        <strike val="0"/>
        <condense val="0"/>
        <extend val="0"/>
        <outline val="0"/>
        <shadow val="0"/>
        <u val="none"/>
        <vertAlign val="baseline"/>
        <sz val="20"/>
        <color theme="1"/>
        <name val="Times New Roman"/>
        <family val="1"/>
        <scheme val="none"/>
      </font>
    </dxf>
    <dxf>
      <font>
        <b val="0"/>
        <i val="0"/>
        <strike val="0"/>
        <condense val="0"/>
        <extend val="0"/>
        <outline val="0"/>
        <shadow val="0"/>
        <u val="none"/>
        <vertAlign val="baseline"/>
        <sz val="20"/>
        <color theme="1"/>
        <name val="Times New Roman"/>
        <family val="1"/>
        <scheme val="none"/>
      </font>
    </dxf>
    <dxf>
      <font>
        <b val="0"/>
        <i val="0"/>
        <strike val="0"/>
        <condense val="0"/>
        <extend val="0"/>
        <outline val="0"/>
        <shadow val="0"/>
        <u val="none"/>
        <vertAlign val="baseline"/>
        <sz val="20"/>
        <color theme="1"/>
        <name val="Times New Roman"/>
        <family val="1"/>
        <scheme val="none"/>
      </font>
    </dxf>
    <dxf>
      <font>
        <b val="0"/>
        <i val="0"/>
        <strike val="0"/>
        <condense val="0"/>
        <extend val="0"/>
        <outline val="0"/>
        <shadow val="0"/>
        <u val="none"/>
        <vertAlign val="baseline"/>
        <sz val="20"/>
        <color theme="1"/>
        <name val="Times New Roman"/>
        <family val="1"/>
        <scheme val="none"/>
      </font>
    </dxf>
  </dxfs>
  <tableStyles count="0" defaultTableStyle="TableStyleMedium2" defaultPivotStyle="PivotStyleLight16"/>
  <colors>
    <mruColors>
      <color rgb="FFFFD8FF"/>
      <color rgb="FFFFB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376206</xdr:colOff>
      <xdr:row>0</xdr:row>
      <xdr:rowOff>161358</xdr:rowOff>
    </xdr:from>
    <xdr:to>
      <xdr:col>15</xdr:col>
      <xdr:colOff>404376</xdr:colOff>
      <xdr:row>16</xdr:row>
      <xdr:rowOff>110341</xdr:rowOff>
    </xdr:to>
    <xdr:pic>
      <xdr:nvPicPr>
        <xdr:cNvPr id="2" name="Picture 1">
          <a:extLst>
            <a:ext uri="{FF2B5EF4-FFF2-40B4-BE49-F238E27FC236}">
              <a16:creationId xmlns:a16="http://schemas.microsoft.com/office/drawing/2014/main" id="{7F33FD27-689B-4D12-EF0F-A907BEED71F7}"/>
            </a:ext>
          </a:extLst>
        </xdr:cNvPr>
        <xdr:cNvPicPr>
          <a:picLocks noChangeAspect="1"/>
        </xdr:cNvPicPr>
      </xdr:nvPicPr>
      <xdr:blipFill>
        <a:blip xmlns:r="http://schemas.openxmlformats.org/officeDocument/2006/relationships" r:embed="rId1"/>
        <a:stretch>
          <a:fillRect/>
        </a:stretch>
      </xdr:blipFill>
      <xdr:spPr>
        <a:xfrm>
          <a:off x="18761898" y="161358"/>
          <a:ext cx="7745863" cy="688513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4206CA-F002-7243-998B-462F5A34AEFD}" name="Table2" displayName="Table2" ref="I7:K13" totalsRowShown="0">
  <autoFilter ref="I7:K13" xr:uid="{7F4206CA-F002-7243-998B-462F5A34AEFD}"/>
  <tableColumns count="3">
    <tableColumn id="1" xr3:uid="{7801CF30-5253-3442-84E2-D0902FE247B1}" name="Segment"/>
    <tableColumn id="2" xr3:uid="{47263D17-1896-0343-8FC6-8B5B60386F38}" name="Percentage"/>
    <tableColumn id="3" xr3:uid="{C96CA2CE-29A8-4A41-83BE-79DFA42E92C0}" name="Current Subscribers"/>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32A8C6-55E8-2744-B969-096034FB60DA}" name="Table6" displayName="Table6" ref="H45:J50" totalsRowShown="0" headerRowDxfId="1" dataDxfId="2">
  <autoFilter ref="H45:J50" xr:uid="{CC32A8C6-55E8-2744-B969-096034FB60DA}"/>
  <tableColumns count="3">
    <tableColumn id="1" xr3:uid="{B295F824-9132-4C42-B2C9-7B65E9A7F351}" name="Monthly Revenue" dataDxfId="4"/>
    <tableColumn id="2" xr3:uid="{8853268B-2509-574F-B7E8-0AC76C4942A6}" name="Calculations Written out" dataDxfId="3"/>
    <tableColumn id="3" xr3:uid="{282C7A6A-DE75-274C-92BA-DA96ADA913A1}" name="Result" dataDxfId="0"/>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132504-5474-E847-B2D7-40315BAB391F}" name="Table7" displayName="Table7" ref="H30:J36" totalsRowShown="0">
  <autoFilter ref="H30:J36" xr:uid="{44132504-5474-E847-B2D7-40315BAB391F}"/>
  <tableColumns count="3">
    <tableColumn id="1" xr3:uid="{5BEC258A-2E15-9845-BCDB-F2045C8D23F7}" name="New Subscriber numbers"/>
    <tableColumn id="2" xr3:uid="{F7D161F5-22E5-F048-8E31-D73F2960F113}" name="Calculations Written out"/>
    <tableColumn id="3" xr3:uid="{E938BAE2-5CCD-364F-8AF1-F6233CC52DE6}" name="Result"/>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2040-832B-4046-9042-1F7438E55CEB}">
  <dimension ref="E8:F24"/>
  <sheetViews>
    <sheetView workbookViewId="0">
      <selection activeCell="F13" sqref="F13"/>
    </sheetView>
  </sheetViews>
  <sheetFormatPr baseColWidth="10" defaultRowHeight="16" x14ac:dyDescent="0.2"/>
  <cols>
    <col min="4" max="4" width="18" customWidth="1"/>
    <col min="5" max="5" width="56.33203125" customWidth="1"/>
    <col min="6" max="6" width="39" customWidth="1"/>
    <col min="7" max="7" width="21.5" customWidth="1"/>
    <col min="8" max="8" width="16.6640625" customWidth="1"/>
    <col min="9" max="9" width="17.83203125" customWidth="1"/>
    <col min="10" max="10" width="18" customWidth="1"/>
  </cols>
  <sheetData>
    <row r="8" spans="5:5" ht="51" x14ac:dyDescent="0.2">
      <c r="E8" s="30" t="s">
        <v>0</v>
      </c>
    </row>
    <row r="9" spans="5:5" ht="17" x14ac:dyDescent="0.2">
      <c r="E9" s="3" t="s">
        <v>1</v>
      </c>
    </row>
    <row r="10" spans="5:5" ht="17" x14ac:dyDescent="0.2">
      <c r="E10" s="2" t="s">
        <v>2</v>
      </c>
    </row>
    <row r="11" spans="5:5" ht="17" x14ac:dyDescent="0.2">
      <c r="E11" s="2" t="s">
        <v>3</v>
      </c>
    </row>
    <row r="12" spans="5:5" ht="17" x14ac:dyDescent="0.2">
      <c r="E12" s="2" t="s">
        <v>4</v>
      </c>
    </row>
    <row r="13" spans="5:5" ht="17" x14ac:dyDescent="0.2">
      <c r="E13" s="2" t="s">
        <v>5</v>
      </c>
    </row>
    <row r="14" spans="5:5" ht="17" x14ac:dyDescent="0.2">
      <c r="E14" s="2" t="s">
        <v>6</v>
      </c>
    </row>
    <row r="15" spans="5:5" ht="17" x14ac:dyDescent="0.2">
      <c r="E15" s="2" t="s">
        <v>7</v>
      </c>
    </row>
    <row r="16" spans="5:5" ht="17" x14ac:dyDescent="0.2">
      <c r="E16" s="2" t="s">
        <v>8</v>
      </c>
    </row>
    <row r="17" spans="5:6" ht="17" x14ac:dyDescent="0.2">
      <c r="E17" s="2" t="s">
        <v>9</v>
      </c>
    </row>
    <row r="18" spans="5:6" ht="17" x14ac:dyDescent="0.2">
      <c r="E18" s="2" t="s">
        <v>10</v>
      </c>
    </row>
    <row r="19" spans="5:6" ht="34" x14ac:dyDescent="0.2">
      <c r="E19" s="2" t="s">
        <v>11</v>
      </c>
    </row>
    <row r="20" spans="5:6" ht="34" x14ac:dyDescent="0.2">
      <c r="E20" s="2" t="s">
        <v>12</v>
      </c>
    </row>
    <row r="21" spans="5:6" ht="17" x14ac:dyDescent="0.2">
      <c r="E21" s="2" t="s">
        <v>13</v>
      </c>
    </row>
    <row r="22" spans="5:6" ht="17" x14ac:dyDescent="0.2">
      <c r="E22" s="2" t="s">
        <v>14</v>
      </c>
    </row>
    <row r="23" spans="5:6" ht="17" x14ac:dyDescent="0.2">
      <c r="E23" s="2" t="s">
        <v>15</v>
      </c>
    </row>
    <row r="24" spans="5:6" ht="51" x14ac:dyDescent="0.2">
      <c r="E24" s="2" t="s">
        <v>16</v>
      </c>
      <c r="F24"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569B8-0926-AE41-98DD-8151FA09C5C6}">
  <dimension ref="A2:P89"/>
  <sheetViews>
    <sheetView topLeftCell="H3" zoomScale="80" zoomScaleNormal="80" workbookViewId="0">
      <selection activeCell="J6" sqref="J6"/>
    </sheetView>
  </sheetViews>
  <sheetFormatPr baseColWidth="10" defaultRowHeight="16" x14ac:dyDescent="0.2"/>
  <cols>
    <col min="1" max="1" width="10.83203125" customWidth="1"/>
    <col min="2" max="4" width="0.1640625" customWidth="1"/>
    <col min="5" max="5" width="10.83203125" customWidth="1"/>
    <col min="6" max="6" width="59.6640625" customWidth="1"/>
    <col min="8" max="8" width="46.33203125" customWidth="1"/>
    <col min="9" max="9" width="53.5" customWidth="1"/>
    <col min="10" max="10" width="24.83203125" customWidth="1"/>
    <col min="11" max="11" width="23.6640625" customWidth="1"/>
    <col min="12" max="12" width="32.1640625" customWidth="1"/>
    <col min="13" max="13" width="36.5" customWidth="1"/>
    <col min="14" max="14" width="22.1640625" customWidth="1"/>
  </cols>
  <sheetData>
    <row r="2" spans="5:11" ht="27" x14ac:dyDescent="0.35">
      <c r="E2" s="10"/>
      <c r="F2" s="10"/>
    </row>
    <row r="3" spans="5:11" ht="248" customHeight="1" x14ac:dyDescent="0.35">
      <c r="E3" s="10"/>
      <c r="F3" s="42" t="s">
        <v>24</v>
      </c>
    </row>
    <row r="6" spans="5:11" ht="59" customHeight="1" x14ac:dyDescent="0.2">
      <c r="H6" s="17" t="s">
        <v>25</v>
      </c>
    </row>
    <row r="7" spans="5:11" x14ac:dyDescent="0.2">
      <c r="I7" t="s">
        <v>26</v>
      </c>
      <c r="J7" t="s">
        <v>27</v>
      </c>
      <c r="K7" t="s">
        <v>31</v>
      </c>
    </row>
    <row r="8" spans="5:11" x14ac:dyDescent="0.2">
      <c r="I8" t="s">
        <v>28</v>
      </c>
      <c r="J8" s="7">
        <v>0.75</v>
      </c>
      <c r="K8" s="1" t="s">
        <v>34</v>
      </c>
    </row>
    <row r="9" spans="5:11" x14ac:dyDescent="0.2">
      <c r="I9" t="s">
        <v>29</v>
      </c>
      <c r="J9" s="7">
        <v>0.15</v>
      </c>
      <c r="K9" s="1" t="s">
        <v>35</v>
      </c>
    </row>
    <row r="10" spans="5:11" x14ac:dyDescent="0.2">
      <c r="I10" t="s">
        <v>30</v>
      </c>
      <c r="J10" s="7">
        <v>0.1</v>
      </c>
      <c r="K10" s="1" t="s">
        <v>36</v>
      </c>
    </row>
    <row r="12" spans="5:11" x14ac:dyDescent="0.2">
      <c r="I12" t="s">
        <v>32</v>
      </c>
      <c r="J12" s="7">
        <v>1</v>
      </c>
      <c r="K12" t="s">
        <v>33</v>
      </c>
    </row>
    <row r="16" spans="5:11" ht="27" x14ac:dyDescent="0.35">
      <c r="H16" s="9" t="s">
        <v>37</v>
      </c>
      <c r="I16" s="10"/>
    </row>
    <row r="17" spans="8:14" ht="27" x14ac:dyDescent="0.35">
      <c r="H17" s="11" t="s">
        <v>41</v>
      </c>
      <c r="I17" s="10"/>
    </row>
    <row r="18" spans="8:14" ht="27" x14ac:dyDescent="0.35">
      <c r="H18" s="11" t="s">
        <v>42</v>
      </c>
      <c r="I18" s="10"/>
    </row>
    <row r="19" spans="8:14" ht="27" x14ac:dyDescent="0.35">
      <c r="H19" s="11" t="s">
        <v>43</v>
      </c>
      <c r="I19" s="10"/>
    </row>
    <row r="20" spans="8:14" ht="27" x14ac:dyDescent="0.35">
      <c r="H20" s="9" t="s">
        <v>38</v>
      </c>
      <c r="I20" s="10"/>
    </row>
    <row r="21" spans="8:14" ht="27" x14ac:dyDescent="0.35">
      <c r="H21" s="9" t="s">
        <v>44</v>
      </c>
      <c r="I21" s="10"/>
    </row>
    <row r="22" spans="8:14" ht="27" x14ac:dyDescent="0.35">
      <c r="H22" s="9" t="s">
        <v>45</v>
      </c>
      <c r="I22" s="10"/>
    </row>
    <row r="23" spans="8:14" ht="27" x14ac:dyDescent="0.35">
      <c r="H23" s="9" t="s">
        <v>39</v>
      </c>
      <c r="I23" s="10"/>
    </row>
    <row r="24" spans="8:14" ht="27" x14ac:dyDescent="0.35">
      <c r="H24" s="9" t="s">
        <v>40</v>
      </c>
      <c r="I24" s="10"/>
    </row>
    <row r="25" spans="8:14" ht="27" x14ac:dyDescent="0.35">
      <c r="H25" s="10"/>
      <c r="I25" s="10"/>
    </row>
    <row r="26" spans="8:14" ht="25" x14ac:dyDescent="0.25">
      <c r="H26" s="12"/>
      <c r="I26" s="12"/>
      <c r="J26" s="12"/>
    </row>
    <row r="27" spans="8:14" ht="25" x14ac:dyDescent="0.25">
      <c r="H27" s="16" t="s">
        <v>20</v>
      </c>
      <c r="I27" s="12"/>
      <c r="J27" s="12"/>
      <c r="L27" s="12"/>
      <c r="M27" s="12"/>
      <c r="N27" s="12"/>
    </row>
    <row r="28" spans="8:14" ht="25" x14ac:dyDescent="0.25">
      <c r="L28" s="12" t="s">
        <v>21</v>
      </c>
      <c r="M28" s="13" t="s">
        <v>49</v>
      </c>
      <c r="N28" s="12" t="s">
        <v>46</v>
      </c>
    </row>
    <row r="29" spans="8:14" ht="25" x14ac:dyDescent="0.25">
      <c r="L29" s="13" t="s">
        <v>47</v>
      </c>
      <c r="M29" s="12">
        <f>18.75*1.25</f>
        <v>23.4375</v>
      </c>
      <c r="N29" s="12"/>
    </row>
    <row r="30" spans="8:14" ht="25" x14ac:dyDescent="0.25">
      <c r="H30" t="s">
        <v>66</v>
      </c>
      <c r="I30" t="s">
        <v>67</v>
      </c>
      <c r="J30" t="s">
        <v>61</v>
      </c>
      <c r="L30" s="12"/>
      <c r="M30" s="12"/>
      <c r="N30" s="12"/>
    </row>
    <row r="31" spans="8:14" ht="25" x14ac:dyDescent="0.25">
      <c r="H31" t="s">
        <v>28</v>
      </c>
      <c r="I31" t="s">
        <v>49</v>
      </c>
      <c r="J31">
        <f>18.75*1.25</f>
        <v>23.4375</v>
      </c>
      <c r="L31" s="12" t="s">
        <v>22</v>
      </c>
      <c r="M31" s="13" t="s">
        <v>50</v>
      </c>
      <c r="N31" s="12" t="s">
        <v>48</v>
      </c>
    </row>
    <row r="32" spans="8:14" ht="25" x14ac:dyDescent="0.25">
      <c r="H32" t="s">
        <v>29</v>
      </c>
      <c r="I32" t="s">
        <v>50</v>
      </c>
      <c r="J32">
        <f>3.75*1.1</f>
        <v>4.125</v>
      </c>
      <c r="L32" s="13" t="s">
        <v>47</v>
      </c>
      <c r="M32" s="12">
        <f>3.75*1.1</f>
        <v>4.125</v>
      </c>
      <c r="N32" s="12"/>
    </row>
    <row r="33" spans="6:16" ht="52" x14ac:dyDescent="0.25">
      <c r="I33" t="s">
        <v>18</v>
      </c>
      <c r="J33" s="5"/>
      <c r="M33" s="14" t="s">
        <v>18</v>
      </c>
      <c r="N33" s="12"/>
    </row>
    <row r="34" spans="6:16" ht="25" x14ac:dyDescent="0.25">
      <c r="I34" t="s">
        <v>54</v>
      </c>
      <c r="J34" t="s">
        <v>52</v>
      </c>
      <c r="M34" s="12" t="s">
        <v>54</v>
      </c>
      <c r="N34" s="12" t="s">
        <v>52</v>
      </c>
      <c r="O34" s="4"/>
      <c r="P34" s="9" t="s">
        <v>287</v>
      </c>
    </row>
    <row r="35" spans="6:16" ht="25" x14ac:dyDescent="0.25">
      <c r="I35" t="s">
        <v>68</v>
      </c>
      <c r="M35" s="12">
        <f>2.5*0.1</f>
        <v>0.25</v>
      </c>
      <c r="N35" s="12"/>
    </row>
    <row r="36" spans="6:16" ht="104" x14ac:dyDescent="0.25">
      <c r="H36" t="s">
        <v>30</v>
      </c>
      <c r="I36" t="s">
        <v>54</v>
      </c>
      <c r="J36" s="4">
        <f>2.5*0.1</f>
        <v>0.25</v>
      </c>
      <c r="M36" s="14" t="s">
        <v>53</v>
      </c>
    </row>
    <row r="37" spans="6:16" ht="25" x14ac:dyDescent="0.25">
      <c r="L37" s="12" t="s">
        <v>288</v>
      </c>
      <c r="M37" s="12" t="s">
        <v>51</v>
      </c>
      <c r="N37" s="12" t="s">
        <v>52</v>
      </c>
    </row>
    <row r="38" spans="6:16" ht="25" x14ac:dyDescent="0.25">
      <c r="L38" s="13" t="s">
        <v>47</v>
      </c>
      <c r="M38" s="12">
        <f>2.5*0.1</f>
        <v>0.25</v>
      </c>
      <c r="N38" s="12"/>
    </row>
    <row r="40" spans="6:16" x14ac:dyDescent="0.2">
      <c r="M40" s="5"/>
    </row>
    <row r="41" spans="6:16" ht="25" x14ac:dyDescent="0.25">
      <c r="F41" s="12"/>
      <c r="G41" s="12"/>
      <c r="H41" s="12"/>
      <c r="I41" s="12"/>
      <c r="J41" s="12"/>
      <c r="K41" s="12"/>
    </row>
    <row r="42" spans="6:16" ht="25" x14ac:dyDescent="0.25">
      <c r="F42" s="12"/>
      <c r="G42" s="12"/>
      <c r="H42" s="16" t="s">
        <v>55</v>
      </c>
      <c r="I42" s="12"/>
      <c r="J42" s="12"/>
      <c r="K42" s="12"/>
    </row>
    <row r="43" spans="6:16" ht="25" x14ac:dyDescent="0.25">
      <c r="F43" s="12"/>
      <c r="G43" s="12"/>
      <c r="H43" s="12"/>
      <c r="I43" s="14"/>
      <c r="J43" s="12"/>
      <c r="K43" s="12"/>
    </row>
    <row r="44" spans="6:16" ht="25" x14ac:dyDescent="0.25">
      <c r="F44" s="12"/>
      <c r="G44" s="12"/>
      <c r="L44" s="12"/>
      <c r="N44" s="5"/>
    </row>
    <row r="45" spans="6:16" ht="25" x14ac:dyDescent="0.25">
      <c r="F45" s="12"/>
      <c r="G45" s="12"/>
      <c r="H45" s="12" t="s">
        <v>60</v>
      </c>
      <c r="I45" s="12" t="s">
        <v>67</v>
      </c>
      <c r="J45" s="12" t="s">
        <v>61</v>
      </c>
      <c r="L45" s="12" t="s">
        <v>21</v>
      </c>
      <c r="M45" s="13" t="s">
        <v>57</v>
      </c>
      <c r="N45" s="12" t="s">
        <v>56</v>
      </c>
    </row>
    <row r="46" spans="6:16" ht="25" x14ac:dyDescent="0.25">
      <c r="F46" s="12"/>
      <c r="G46" s="12"/>
      <c r="H46" s="12" t="s">
        <v>28</v>
      </c>
      <c r="I46" s="12" t="s">
        <v>57</v>
      </c>
      <c r="J46" s="12">
        <f>23.4375*9.99</f>
        <v>234.140625</v>
      </c>
      <c r="L46" s="15" t="s">
        <v>47</v>
      </c>
      <c r="M46" s="12">
        <f>23.4375*9.99</f>
        <v>234.140625</v>
      </c>
      <c r="N46" s="12"/>
    </row>
    <row r="47" spans="6:16" ht="25" x14ac:dyDescent="0.25">
      <c r="F47" s="12"/>
      <c r="G47" s="12"/>
      <c r="H47" s="12" t="s">
        <v>29</v>
      </c>
      <c r="I47" s="12" t="s">
        <v>58</v>
      </c>
      <c r="J47" s="12">
        <f>4.375*24.99</f>
        <v>109.33125</v>
      </c>
      <c r="L47" s="12"/>
      <c r="M47" s="12"/>
      <c r="N47" s="12"/>
    </row>
    <row r="48" spans="6:16" ht="25" x14ac:dyDescent="0.25">
      <c r="F48" s="12"/>
      <c r="G48" s="12"/>
      <c r="H48" s="12" t="s">
        <v>30</v>
      </c>
      <c r="I48" s="12" t="s">
        <v>62</v>
      </c>
      <c r="J48" s="12">
        <f>2.25*39.99</f>
        <v>89.977500000000006</v>
      </c>
      <c r="L48" s="12" t="s">
        <v>17</v>
      </c>
      <c r="M48" s="13" t="s">
        <v>58</v>
      </c>
      <c r="N48" s="12" t="s">
        <v>59</v>
      </c>
    </row>
    <row r="49" spans="6:14" ht="25" x14ac:dyDescent="0.25">
      <c r="F49" s="12"/>
      <c r="G49" s="12"/>
      <c r="H49" s="12"/>
      <c r="I49" s="12"/>
      <c r="J49" s="12"/>
      <c r="L49" s="13" t="s">
        <v>47</v>
      </c>
      <c r="M49" s="12">
        <f>4.375*24.99</f>
        <v>109.33125</v>
      </c>
      <c r="N49" s="12"/>
    </row>
    <row r="50" spans="6:14" ht="25" x14ac:dyDescent="0.25">
      <c r="F50" s="12"/>
      <c r="G50" s="12"/>
      <c r="H50" s="12" t="s">
        <v>32</v>
      </c>
      <c r="I50" s="12" t="s">
        <v>64</v>
      </c>
      <c r="J50" s="12">
        <f>234.14+109.33+89.98</f>
        <v>433.45</v>
      </c>
      <c r="M50" s="12"/>
      <c r="N50" s="12"/>
    </row>
    <row r="51" spans="6:14" ht="25" x14ac:dyDescent="0.25">
      <c r="F51" s="12"/>
      <c r="G51" s="12"/>
      <c r="H51" s="12"/>
      <c r="I51" s="12"/>
      <c r="J51" s="12"/>
      <c r="L51" s="12" t="s">
        <v>30</v>
      </c>
      <c r="M51" s="13" t="s">
        <v>62</v>
      </c>
      <c r="N51" s="12" t="s">
        <v>63</v>
      </c>
    </row>
    <row r="52" spans="6:14" ht="25" x14ac:dyDescent="0.25">
      <c r="F52" s="12"/>
      <c r="G52" s="12"/>
      <c r="L52" s="13" t="s">
        <v>47</v>
      </c>
      <c r="M52" s="12">
        <f>2.25*39.99</f>
        <v>89.977500000000006</v>
      </c>
      <c r="N52" s="12"/>
    </row>
    <row r="53" spans="6:14" ht="25" x14ac:dyDescent="0.25">
      <c r="F53" s="12"/>
      <c r="H53" s="12"/>
    </row>
    <row r="54" spans="6:14" ht="25" x14ac:dyDescent="0.25">
      <c r="F54" s="12"/>
      <c r="H54" s="12"/>
      <c r="I54" s="12"/>
      <c r="J54" s="12"/>
      <c r="L54" s="12" t="s">
        <v>32</v>
      </c>
      <c r="M54" s="12" t="s">
        <v>64</v>
      </c>
      <c r="N54" s="12" t="s">
        <v>65</v>
      </c>
    </row>
    <row r="55" spans="6:14" ht="25" x14ac:dyDescent="0.25">
      <c r="F55" s="12"/>
      <c r="H55" s="16" t="s">
        <v>69</v>
      </c>
      <c r="I55" s="12" t="s">
        <v>70</v>
      </c>
      <c r="J55" s="12" t="s">
        <v>71</v>
      </c>
      <c r="L55" s="12"/>
      <c r="M55" s="12">
        <f>234.14+109.33+89.98</f>
        <v>433.45</v>
      </c>
      <c r="N55" s="12"/>
    </row>
    <row r="56" spans="6:14" ht="25" x14ac:dyDescent="0.25">
      <c r="F56" s="12"/>
      <c r="H56" s="13" t="s">
        <v>47</v>
      </c>
      <c r="I56" s="12">
        <f>25*14.99</f>
        <v>374.75</v>
      </c>
      <c r="J56" s="12"/>
    </row>
    <row r="57" spans="6:14" ht="25" x14ac:dyDescent="0.25">
      <c r="H57" s="12"/>
    </row>
    <row r="58" spans="6:14" ht="25" x14ac:dyDescent="0.25">
      <c r="H58" s="16" t="s">
        <v>318</v>
      </c>
      <c r="I58" s="12" t="s">
        <v>72</v>
      </c>
      <c r="J58" s="12" t="s">
        <v>73</v>
      </c>
    </row>
    <row r="59" spans="6:14" ht="25" x14ac:dyDescent="0.25">
      <c r="H59" s="12"/>
      <c r="I59" s="18">
        <f>433.45-374.75</f>
        <v>58.699999999999989</v>
      </c>
      <c r="J59" s="12"/>
      <c r="K59" s="12"/>
    </row>
    <row r="60" spans="6:14" ht="25" x14ac:dyDescent="0.25">
      <c r="H60" s="12"/>
      <c r="I60" s="12"/>
      <c r="J60" s="12"/>
      <c r="K60" s="12"/>
    </row>
    <row r="61" spans="6:14" ht="25" x14ac:dyDescent="0.25">
      <c r="H61" s="16" t="s">
        <v>74</v>
      </c>
      <c r="I61" s="12" t="s">
        <v>75</v>
      </c>
      <c r="J61" s="12" t="s">
        <v>76</v>
      </c>
      <c r="K61" s="12"/>
    </row>
    <row r="62" spans="6:14" ht="25" x14ac:dyDescent="0.25">
      <c r="H62" s="12"/>
      <c r="I62" s="12">
        <f>58.7*12</f>
        <v>704.40000000000009</v>
      </c>
      <c r="J62" s="12"/>
      <c r="K62" s="12"/>
      <c r="M62" s="5"/>
    </row>
    <row r="63" spans="6:14" ht="25" x14ac:dyDescent="0.25">
      <c r="F63" s="12"/>
      <c r="H63" s="12"/>
      <c r="I63" s="12"/>
      <c r="J63" s="12"/>
      <c r="K63" s="12"/>
    </row>
    <row r="64" spans="6:14" ht="25" x14ac:dyDescent="0.25">
      <c r="F64" s="12"/>
      <c r="G64" s="12"/>
      <c r="H64" s="16" t="s">
        <v>81</v>
      </c>
      <c r="I64" s="12"/>
      <c r="J64" s="12"/>
      <c r="K64" s="12"/>
    </row>
    <row r="65" spans="6:14" ht="25" x14ac:dyDescent="0.25">
      <c r="F65" s="12"/>
      <c r="G65" s="12"/>
      <c r="I65" s="12" t="s">
        <v>77</v>
      </c>
      <c r="J65" s="12"/>
      <c r="K65" s="12"/>
      <c r="L65" s="12"/>
    </row>
    <row r="66" spans="6:14" ht="25" x14ac:dyDescent="0.25">
      <c r="F66" s="12"/>
      <c r="G66" s="12"/>
      <c r="I66" s="12" t="s">
        <v>79</v>
      </c>
      <c r="J66" s="12"/>
      <c r="K66" s="12"/>
      <c r="L66" s="12"/>
      <c r="N66" s="5"/>
    </row>
    <row r="67" spans="6:14" ht="25" x14ac:dyDescent="0.25">
      <c r="F67" s="12"/>
      <c r="G67" s="12"/>
      <c r="I67" s="12"/>
      <c r="J67" s="12"/>
      <c r="K67" s="12"/>
      <c r="L67" s="12"/>
    </row>
    <row r="68" spans="6:14" ht="25" x14ac:dyDescent="0.25">
      <c r="F68" s="12"/>
      <c r="G68" s="12"/>
      <c r="I68" s="12" t="s">
        <v>78</v>
      </c>
      <c r="J68" s="12"/>
      <c r="K68" s="12"/>
      <c r="L68" s="12"/>
      <c r="N68" s="4"/>
    </row>
    <row r="69" spans="6:14" ht="25" x14ac:dyDescent="0.25">
      <c r="G69" s="12"/>
      <c r="I69" s="12"/>
      <c r="J69" s="12" t="s">
        <v>80</v>
      </c>
      <c r="K69" s="12"/>
      <c r="L69" s="12"/>
    </row>
    <row r="70" spans="6:14" ht="25" x14ac:dyDescent="0.25">
      <c r="G70" s="12"/>
      <c r="I70" s="12"/>
      <c r="J70" s="12" t="s">
        <v>19</v>
      </c>
      <c r="K70" s="12"/>
      <c r="L70" s="12"/>
    </row>
    <row r="71" spans="6:14" ht="25" x14ac:dyDescent="0.25">
      <c r="G71" s="12"/>
      <c r="I71" s="12" t="s">
        <v>319</v>
      </c>
      <c r="J71" s="12"/>
      <c r="K71" s="12"/>
      <c r="L71" s="12"/>
    </row>
    <row r="72" spans="6:14" ht="25" x14ac:dyDescent="0.25">
      <c r="G72" s="12"/>
      <c r="I72" s="12"/>
      <c r="J72" s="12"/>
      <c r="K72" s="12"/>
      <c r="L72" s="12"/>
    </row>
    <row r="73" spans="6:14" ht="25" x14ac:dyDescent="0.25">
      <c r="G73" s="12"/>
      <c r="I73" s="12" t="s">
        <v>320</v>
      </c>
      <c r="J73" s="12"/>
      <c r="K73" s="12"/>
      <c r="L73" s="12"/>
    </row>
    <row r="74" spans="6:14" ht="25" x14ac:dyDescent="0.25">
      <c r="G74" s="12"/>
      <c r="H74" s="12"/>
      <c r="I74" s="12"/>
      <c r="J74" s="12"/>
      <c r="K74" s="12"/>
    </row>
    <row r="75" spans="6:14" ht="25" x14ac:dyDescent="0.25">
      <c r="G75" s="12"/>
      <c r="H75" s="12"/>
      <c r="I75" s="12"/>
      <c r="J75" s="12"/>
      <c r="K75" s="12"/>
    </row>
    <row r="76" spans="6:14" ht="25" x14ac:dyDescent="0.25">
      <c r="G76" s="12"/>
      <c r="H76" s="12"/>
      <c r="I76" s="12"/>
      <c r="J76" s="12"/>
      <c r="K76" s="12"/>
    </row>
    <row r="77" spans="6:14" ht="25" x14ac:dyDescent="0.25">
      <c r="G77" s="12"/>
      <c r="H77" s="12"/>
      <c r="I77" s="12"/>
      <c r="J77" s="12"/>
      <c r="K77" s="12"/>
    </row>
    <row r="78" spans="6:14" ht="25" x14ac:dyDescent="0.25">
      <c r="G78" s="12"/>
      <c r="H78" s="12"/>
      <c r="I78" s="12"/>
      <c r="J78" s="12"/>
      <c r="K78" s="12"/>
    </row>
    <row r="79" spans="6:14" ht="25" x14ac:dyDescent="0.25">
      <c r="G79" s="12"/>
      <c r="H79" s="12"/>
      <c r="I79" s="12"/>
      <c r="J79" s="12"/>
      <c r="K79" s="12"/>
    </row>
    <row r="80" spans="6:14" ht="25" x14ac:dyDescent="0.25">
      <c r="G80" s="12"/>
      <c r="H80" s="12"/>
      <c r="I80" s="12"/>
      <c r="J80" s="12"/>
      <c r="K80" s="12"/>
    </row>
    <row r="81" spans="7:11" ht="25" x14ac:dyDescent="0.25">
      <c r="G81" s="12"/>
      <c r="H81" s="12"/>
      <c r="I81" s="12"/>
      <c r="J81" s="12"/>
      <c r="K81" s="12"/>
    </row>
    <row r="82" spans="7:11" ht="25" x14ac:dyDescent="0.25">
      <c r="G82" s="12"/>
      <c r="H82" s="12"/>
      <c r="I82" s="12"/>
      <c r="J82" s="12"/>
      <c r="K82" s="12"/>
    </row>
    <row r="83" spans="7:11" ht="25" x14ac:dyDescent="0.25">
      <c r="G83" s="12"/>
      <c r="H83" s="12"/>
      <c r="I83" s="12"/>
      <c r="J83" s="12"/>
      <c r="K83" s="12"/>
    </row>
    <row r="84" spans="7:11" ht="25" x14ac:dyDescent="0.25">
      <c r="G84" s="12"/>
      <c r="H84" s="12"/>
      <c r="I84" s="12"/>
      <c r="J84" s="12"/>
      <c r="K84" s="12"/>
    </row>
    <row r="85" spans="7:11" ht="25" x14ac:dyDescent="0.25">
      <c r="G85" s="12"/>
      <c r="H85" s="12"/>
      <c r="I85" s="12"/>
      <c r="J85" s="12"/>
      <c r="K85" s="12"/>
    </row>
    <row r="86" spans="7:11" ht="25" x14ac:dyDescent="0.25">
      <c r="G86" s="12"/>
      <c r="H86" s="12"/>
      <c r="I86" s="12"/>
      <c r="J86" s="12"/>
      <c r="K86" s="12"/>
    </row>
    <row r="87" spans="7:11" ht="25" x14ac:dyDescent="0.25">
      <c r="G87" s="12"/>
      <c r="H87" s="12"/>
      <c r="I87" s="12"/>
      <c r="J87" s="12"/>
      <c r="K87" s="12"/>
    </row>
    <row r="88" spans="7:11" ht="25" x14ac:dyDescent="0.25">
      <c r="G88" s="12"/>
      <c r="H88" s="12"/>
      <c r="I88" s="12"/>
      <c r="J88" s="12"/>
      <c r="K88" s="12"/>
    </row>
    <row r="89" spans="7:11" ht="25" x14ac:dyDescent="0.25">
      <c r="G89" s="12"/>
      <c r="H89" s="12"/>
      <c r="I89" s="12"/>
      <c r="J89" s="12"/>
      <c r="K89" s="12"/>
    </row>
  </sheetData>
  <pageMargins left="0.7" right="0.7" top="0.75" bottom="0.75" header="0.3" footer="0.3"/>
  <pageSetup orientation="portrait" horizontalDpi="0" verticalDpi="0"/>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D20E-51DE-104E-ADF1-74662D600183}">
  <dimension ref="C6:S242"/>
  <sheetViews>
    <sheetView tabSelected="1" topLeftCell="A18" workbookViewId="0">
      <selection activeCell="D23" sqref="D23"/>
    </sheetView>
  </sheetViews>
  <sheetFormatPr baseColWidth="10" defaultRowHeight="16" x14ac:dyDescent="0.2"/>
  <cols>
    <col min="4" max="4" width="45.83203125" customWidth="1"/>
    <col min="5" max="5" width="31.5" customWidth="1"/>
    <col min="6" max="6" width="19.83203125" customWidth="1"/>
    <col min="7" max="7" width="69.6640625" customWidth="1"/>
    <col min="8" max="8" width="22.5" customWidth="1"/>
    <col min="9" max="9" width="24" customWidth="1"/>
    <col min="10" max="10" width="17.1640625" customWidth="1"/>
    <col min="12" max="12" width="11.6640625" customWidth="1"/>
    <col min="14" max="14" width="15.5" customWidth="1"/>
    <col min="15" max="15" width="17.83203125" customWidth="1"/>
    <col min="16" max="16" width="15.33203125" customWidth="1"/>
    <col min="17" max="17" width="15.1640625" customWidth="1"/>
    <col min="18" max="18" width="15.83203125" customWidth="1"/>
  </cols>
  <sheetData>
    <row r="6" spans="4:14" ht="119" x14ac:dyDescent="0.2">
      <c r="D6" s="41" t="s">
        <v>90</v>
      </c>
    </row>
    <row r="8" spans="4:14" ht="25" x14ac:dyDescent="0.25">
      <c r="E8" s="9" t="s">
        <v>82</v>
      </c>
    </row>
    <row r="9" spans="4:14" ht="25" x14ac:dyDescent="0.25">
      <c r="D9" s="12"/>
      <c r="E9" s="9" t="s">
        <v>83</v>
      </c>
      <c r="F9" s="12"/>
      <c r="G9" s="12"/>
      <c r="H9" s="12"/>
      <c r="I9" s="12"/>
      <c r="J9" s="12"/>
      <c r="K9" s="12"/>
      <c r="L9" s="12"/>
      <c r="M9" s="12"/>
      <c r="N9" s="12"/>
    </row>
    <row r="10" spans="4:14" ht="25" x14ac:dyDescent="0.25">
      <c r="D10" s="12"/>
      <c r="E10" s="9" t="s">
        <v>84</v>
      </c>
      <c r="F10" s="12"/>
      <c r="G10" s="12"/>
      <c r="H10" s="12"/>
      <c r="I10" s="12"/>
      <c r="J10" s="12"/>
      <c r="K10" s="12"/>
      <c r="L10" s="12"/>
      <c r="M10" s="12"/>
      <c r="N10" s="12"/>
    </row>
    <row r="11" spans="4:14" ht="25" x14ac:dyDescent="0.25">
      <c r="D11" s="12"/>
      <c r="E11" s="9" t="s">
        <v>85</v>
      </c>
      <c r="F11" s="12"/>
      <c r="G11" s="12"/>
      <c r="H11" s="12"/>
      <c r="I11" s="12"/>
      <c r="J11" s="12"/>
      <c r="K11" s="12"/>
      <c r="L11" s="12"/>
      <c r="M11" s="12"/>
      <c r="N11" s="12"/>
    </row>
    <row r="12" spans="4:14" ht="25" x14ac:dyDescent="0.25">
      <c r="D12" s="12"/>
      <c r="E12" s="9" t="s">
        <v>86</v>
      </c>
      <c r="F12" s="12"/>
      <c r="G12" s="12"/>
      <c r="H12" s="12"/>
      <c r="I12" s="12"/>
      <c r="J12" s="12"/>
      <c r="K12" s="12"/>
      <c r="L12" s="12"/>
      <c r="M12" s="12"/>
      <c r="N12" s="12"/>
    </row>
    <row r="13" spans="4:14" ht="25" x14ac:dyDescent="0.25">
      <c r="D13" s="12"/>
      <c r="E13" s="9" t="s">
        <v>87</v>
      </c>
      <c r="F13" s="12"/>
      <c r="G13" s="12"/>
      <c r="H13" s="12"/>
      <c r="I13" s="12"/>
      <c r="J13" s="12"/>
      <c r="K13" s="12"/>
      <c r="L13" s="12"/>
      <c r="M13" s="12"/>
      <c r="N13" s="12"/>
    </row>
    <row r="14" spans="4:14" ht="25" x14ac:dyDescent="0.25">
      <c r="D14" s="12"/>
      <c r="E14" s="9" t="s">
        <v>88</v>
      </c>
      <c r="F14" s="12"/>
      <c r="G14" s="12"/>
      <c r="H14" s="12"/>
      <c r="I14" s="12"/>
      <c r="J14" s="12"/>
      <c r="K14" s="12"/>
      <c r="L14" s="12"/>
      <c r="M14" s="12"/>
    </row>
    <row r="15" spans="4:14" ht="25" x14ac:dyDescent="0.25">
      <c r="D15" s="12"/>
      <c r="E15" s="9" t="s">
        <v>89</v>
      </c>
      <c r="F15" s="12"/>
      <c r="G15" s="12"/>
      <c r="H15" s="12"/>
      <c r="I15" s="12"/>
      <c r="J15" s="12"/>
      <c r="K15" s="12"/>
      <c r="L15" s="12"/>
      <c r="M15" s="12"/>
    </row>
    <row r="16" spans="4:14" ht="25" x14ac:dyDescent="0.25">
      <c r="D16" s="12"/>
      <c r="E16" s="12"/>
      <c r="F16" s="12"/>
      <c r="G16" s="12"/>
      <c r="H16" s="12"/>
      <c r="I16" s="12"/>
      <c r="J16" s="12"/>
    </row>
    <row r="17" spans="4:13" ht="25" x14ac:dyDescent="0.25">
      <c r="D17" s="12"/>
      <c r="E17" s="12"/>
      <c r="F17" s="12"/>
      <c r="G17" s="12"/>
      <c r="H17" s="12"/>
      <c r="I17" s="12"/>
      <c r="J17" s="12"/>
    </row>
    <row r="18" spans="4:13" ht="25" x14ac:dyDescent="0.25">
      <c r="D18" s="12"/>
      <c r="E18" s="20" t="s">
        <v>91</v>
      </c>
      <c r="F18" s="12"/>
      <c r="G18" s="12"/>
      <c r="H18" s="12"/>
    </row>
    <row r="19" spans="4:13" ht="25" x14ac:dyDescent="0.25">
      <c r="D19" s="12"/>
      <c r="F19" s="12" t="s">
        <v>117</v>
      </c>
      <c r="G19" s="12"/>
      <c r="H19" s="12"/>
    </row>
    <row r="20" spans="4:13" ht="26" x14ac:dyDescent="0.3">
      <c r="D20" s="12"/>
      <c r="F20" s="12" t="s">
        <v>118</v>
      </c>
      <c r="G20" s="12"/>
      <c r="H20" s="12"/>
      <c r="I20" s="23"/>
    </row>
    <row r="21" spans="4:13" ht="25" x14ac:dyDescent="0.25">
      <c r="D21" s="12"/>
      <c r="F21" s="12" t="s">
        <v>92</v>
      </c>
      <c r="G21" s="12"/>
      <c r="H21" s="12"/>
      <c r="I21" s="22" t="s">
        <v>93</v>
      </c>
    </row>
    <row r="22" spans="4:13" ht="25" x14ac:dyDescent="0.25">
      <c r="D22" s="12"/>
      <c r="F22" s="12"/>
      <c r="G22" s="12"/>
      <c r="H22" s="12">
        <f>3.75*1.15</f>
        <v>4.3125</v>
      </c>
      <c r="I22" s="4"/>
    </row>
    <row r="23" spans="4:13" ht="25" x14ac:dyDescent="0.25">
      <c r="D23" s="12"/>
      <c r="F23" s="12" t="s">
        <v>119</v>
      </c>
      <c r="G23" s="12"/>
      <c r="H23" s="12"/>
    </row>
    <row r="24" spans="4:13" ht="25" x14ac:dyDescent="0.25">
      <c r="D24" s="12"/>
      <c r="F24" s="12" t="s">
        <v>120</v>
      </c>
      <c r="G24" s="12"/>
      <c r="H24" s="12"/>
      <c r="I24" s="22" t="s">
        <v>97</v>
      </c>
    </row>
    <row r="25" spans="4:13" ht="25" x14ac:dyDescent="0.25">
      <c r="D25" s="12"/>
      <c r="F25" s="12"/>
      <c r="G25" s="12"/>
      <c r="H25" s="12">
        <f>2.5*0.05</f>
        <v>0.125</v>
      </c>
    </row>
    <row r="26" spans="4:13" ht="25" x14ac:dyDescent="0.25">
      <c r="D26" s="12"/>
      <c r="F26" s="12"/>
      <c r="G26" s="12"/>
      <c r="H26" s="12"/>
    </row>
    <row r="27" spans="4:13" ht="25" x14ac:dyDescent="0.25">
      <c r="D27" s="12"/>
      <c r="F27" s="22" t="s">
        <v>107</v>
      </c>
      <c r="G27" s="12"/>
      <c r="H27" s="12"/>
    </row>
    <row r="28" spans="4:13" ht="25" x14ac:dyDescent="0.25">
      <c r="D28" s="12"/>
      <c r="E28" s="12"/>
      <c r="F28" s="12"/>
      <c r="G28" s="12"/>
      <c r="H28" s="12"/>
      <c r="I28" s="5"/>
    </row>
    <row r="29" spans="4:13" ht="25" x14ac:dyDescent="0.25">
      <c r="D29" s="12"/>
      <c r="E29" s="12"/>
      <c r="F29" s="12" t="s">
        <v>92</v>
      </c>
      <c r="G29" s="12"/>
      <c r="H29" s="22" t="s">
        <v>93</v>
      </c>
      <c r="I29" s="12"/>
      <c r="J29" s="12"/>
    </row>
    <row r="30" spans="4:13" ht="25" x14ac:dyDescent="0.25">
      <c r="D30" s="12"/>
      <c r="E30" s="19" t="s">
        <v>96</v>
      </c>
      <c r="F30" s="12"/>
      <c r="G30" s="12">
        <f>3.75*1.15</f>
        <v>4.3125</v>
      </c>
      <c r="H30" s="12"/>
      <c r="I30" s="12"/>
      <c r="J30" s="12"/>
    </row>
    <row r="31" spans="4:13" ht="25" x14ac:dyDescent="0.25">
      <c r="D31" s="12"/>
      <c r="E31" s="12"/>
      <c r="F31" s="9" t="s">
        <v>94</v>
      </c>
      <c r="G31" s="12"/>
      <c r="H31" s="12"/>
      <c r="I31" s="12"/>
      <c r="J31" s="12"/>
    </row>
    <row r="32" spans="4:13" ht="25" x14ac:dyDescent="0.25">
      <c r="D32" s="12"/>
      <c r="E32" s="12"/>
      <c r="F32" s="12" t="s">
        <v>95</v>
      </c>
      <c r="G32" s="12"/>
      <c r="H32" s="22" t="s">
        <v>97</v>
      </c>
      <c r="I32" s="12"/>
      <c r="J32" s="12"/>
      <c r="K32" s="12"/>
      <c r="L32" s="12"/>
      <c r="M32" s="12"/>
    </row>
    <row r="33" spans="4:19" ht="25" x14ac:dyDescent="0.25">
      <c r="D33" s="12"/>
      <c r="E33" s="13" t="s">
        <v>96</v>
      </c>
      <c r="F33" s="12"/>
      <c r="G33" s="12">
        <f>2.5* 0.05</f>
        <v>0.125</v>
      </c>
      <c r="H33" s="12"/>
      <c r="I33" s="12"/>
      <c r="J33" s="12"/>
      <c r="K33" s="12"/>
      <c r="L33" s="12"/>
      <c r="M33" s="12"/>
    </row>
    <row r="34" spans="4:19" ht="25" x14ac:dyDescent="0.25">
      <c r="D34" s="12"/>
      <c r="E34" s="12"/>
      <c r="F34" s="12"/>
      <c r="G34" s="12"/>
      <c r="H34" s="12"/>
      <c r="I34" s="12"/>
      <c r="J34" s="12"/>
      <c r="K34" s="12"/>
    </row>
    <row r="35" spans="4:19" ht="25" x14ac:dyDescent="0.25">
      <c r="D35" s="12"/>
      <c r="F35" s="11" t="s">
        <v>98</v>
      </c>
      <c r="G35" s="12"/>
      <c r="H35" s="12"/>
      <c r="I35" s="12"/>
      <c r="J35" s="12"/>
      <c r="K35" s="12"/>
    </row>
    <row r="36" spans="4:19" ht="25" x14ac:dyDescent="0.25">
      <c r="D36" s="21"/>
      <c r="E36" s="12"/>
      <c r="F36" s="12"/>
      <c r="G36" s="12"/>
      <c r="H36" s="12"/>
      <c r="I36" s="12"/>
      <c r="J36" s="12"/>
      <c r="K36" s="12"/>
    </row>
    <row r="37" spans="4:19" ht="25" x14ac:dyDescent="0.25">
      <c r="D37" s="1"/>
      <c r="E37" s="16" t="s">
        <v>99</v>
      </c>
      <c r="F37" s="12"/>
      <c r="G37" s="12"/>
      <c r="H37" s="12"/>
      <c r="I37" s="12"/>
      <c r="J37" s="12"/>
      <c r="K37" s="12"/>
      <c r="S37" s="12"/>
    </row>
    <row r="38" spans="4:19" ht="25" x14ac:dyDescent="0.25">
      <c r="D38" s="25"/>
      <c r="F38" s="12"/>
      <c r="G38" s="12"/>
      <c r="H38" s="12"/>
      <c r="J38" s="12"/>
      <c r="K38" s="12"/>
      <c r="S38" s="12"/>
    </row>
    <row r="39" spans="4:19" ht="25" x14ac:dyDescent="0.25">
      <c r="D39" s="1"/>
      <c r="F39" s="12" t="s">
        <v>121</v>
      </c>
      <c r="G39" s="12"/>
      <c r="H39" s="12"/>
      <c r="J39" s="12"/>
      <c r="K39" s="12"/>
      <c r="S39" s="12"/>
    </row>
    <row r="40" spans="4:19" ht="25" x14ac:dyDescent="0.25">
      <c r="D40" s="1"/>
      <c r="E40" s="12"/>
      <c r="F40" s="12"/>
      <c r="G40" s="12" t="s">
        <v>122</v>
      </c>
      <c r="H40" s="12"/>
      <c r="J40" s="12"/>
      <c r="K40" s="12"/>
      <c r="S40" s="12"/>
    </row>
    <row r="41" spans="4:19" ht="25" x14ac:dyDescent="0.25">
      <c r="D41" s="1"/>
      <c r="F41" s="12"/>
      <c r="G41" s="12" t="s">
        <v>123</v>
      </c>
      <c r="H41" s="12"/>
      <c r="I41" s="22" t="s">
        <v>101</v>
      </c>
      <c r="K41" s="12"/>
    </row>
    <row r="42" spans="4:19" ht="25" x14ac:dyDescent="0.25">
      <c r="D42" s="1"/>
      <c r="F42" s="12"/>
      <c r="G42" s="12"/>
      <c r="H42" s="12"/>
      <c r="I42" s="12">
        <f>2.5*0.95</f>
        <v>2.375</v>
      </c>
      <c r="K42" s="12"/>
    </row>
    <row r="43" spans="4:19" ht="25" x14ac:dyDescent="0.25">
      <c r="D43" s="1"/>
      <c r="E43" s="12"/>
      <c r="G43" s="9" t="s">
        <v>100</v>
      </c>
      <c r="H43" s="22" t="s">
        <v>101</v>
      </c>
      <c r="K43" s="12"/>
    </row>
    <row r="44" spans="4:19" ht="25" x14ac:dyDescent="0.25">
      <c r="D44" s="8"/>
      <c r="F44" s="13" t="s">
        <v>96</v>
      </c>
      <c r="G44" s="12">
        <f>2.5*0.95</f>
        <v>2.375</v>
      </c>
      <c r="H44" s="12"/>
      <c r="I44" s="12"/>
      <c r="J44" s="12"/>
      <c r="K44" s="12"/>
    </row>
    <row r="45" spans="4:19" ht="25" x14ac:dyDescent="0.25">
      <c r="D45" s="1"/>
      <c r="J45" s="12"/>
      <c r="K45" s="12"/>
    </row>
    <row r="46" spans="4:19" ht="25" x14ac:dyDescent="0.25">
      <c r="D46" s="8"/>
      <c r="J46" s="12"/>
      <c r="K46" s="12"/>
    </row>
    <row r="47" spans="4:19" ht="25" x14ac:dyDescent="0.25">
      <c r="D47" s="1"/>
      <c r="E47" s="16" t="s">
        <v>102</v>
      </c>
      <c r="F47" s="12"/>
      <c r="G47" s="12"/>
      <c r="H47" s="12"/>
      <c r="I47" s="12"/>
      <c r="J47" s="12"/>
      <c r="K47" s="12"/>
    </row>
    <row r="48" spans="4:19" ht="25" x14ac:dyDescent="0.25">
      <c r="D48" s="8"/>
      <c r="E48" s="12"/>
      <c r="F48" s="12" t="s">
        <v>124</v>
      </c>
      <c r="L48" s="12"/>
    </row>
    <row r="49" spans="3:16" ht="25" x14ac:dyDescent="0.25">
      <c r="F49" s="12"/>
      <c r="J49" s="12"/>
      <c r="K49" s="12"/>
      <c r="L49" s="12"/>
      <c r="M49" s="12"/>
    </row>
    <row r="50" spans="3:16" ht="25" x14ac:dyDescent="0.25">
      <c r="F50" s="12"/>
      <c r="G50" s="12" t="s">
        <v>125</v>
      </c>
      <c r="H50" s="22" t="s">
        <v>46</v>
      </c>
      <c r="I50" s="12"/>
      <c r="K50" s="12"/>
      <c r="N50" s="4"/>
    </row>
    <row r="51" spans="3:16" ht="25" x14ac:dyDescent="0.25">
      <c r="F51" s="12" t="s">
        <v>96</v>
      </c>
      <c r="G51" s="12">
        <f>18.75*1.25</f>
        <v>23.4375</v>
      </c>
      <c r="J51" s="12"/>
      <c r="K51" s="12"/>
      <c r="P51" s="5"/>
    </row>
    <row r="52" spans="3:16" ht="25" x14ac:dyDescent="0.25">
      <c r="C52" s="21"/>
      <c r="F52" s="12"/>
      <c r="I52" s="12"/>
      <c r="J52" s="12"/>
      <c r="K52" s="12"/>
      <c r="N52" s="5"/>
    </row>
    <row r="53" spans="3:16" ht="25" x14ac:dyDescent="0.25">
      <c r="C53" s="1"/>
      <c r="F53" s="12" t="s">
        <v>126</v>
      </c>
      <c r="G53" s="12" t="s">
        <v>127</v>
      </c>
      <c r="H53" s="12"/>
      <c r="I53" s="12" t="s">
        <v>128</v>
      </c>
    </row>
    <row r="54" spans="3:16" ht="25" x14ac:dyDescent="0.25">
      <c r="C54" s="1"/>
      <c r="F54" s="12"/>
      <c r="G54" s="12"/>
      <c r="H54" s="12">
        <f>23.4375*9.99</f>
        <v>234.140625</v>
      </c>
      <c r="I54" s="12"/>
      <c r="J54" s="12"/>
    </row>
    <row r="55" spans="3:16" ht="25" x14ac:dyDescent="0.25">
      <c r="C55" s="1"/>
      <c r="F55" s="12"/>
      <c r="J55" s="12"/>
      <c r="P55" s="5"/>
    </row>
    <row r="56" spans="3:16" ht="25" x14ac:dyDescent="0.25">
      <c r="C56" s="1"/>
      <c r="F56" s="12"/>
      <c r="G56" s="22"/>
      <c r="J56" s="12"/>
      <c r="N56" s="5"/>
    </row>
    <row r="57" spans="3:16" ht="25" x14ac:dyDescent="0.25">
      <c r="C57" s="1"/>
      <c r="F57" s="12"/>
    </row>
    <row r="58" spans="3:16" ht="25" x14ac:dyDescent="0.25">
      <c r="C58" s="1"/>
      <c r="F58" s="12" t="s">
        <v>108</v>
      </c>
      <c r="G58" s="22" t="s">
        <v>56</v>
      </c>
    </row>
    <row r="59" spans="3:16" ht="25" x14ac:dyDescent="0.25">
      <c r="C59" s="1"/>
      <c r="F59" s="12"/>
      <c r="P59" s="4"/>
    </row>
    <row r="60" spans="3:16" ht="25" x14ac:dyDescent="0.25">
      <c r="C60" s="1"/>
      <c r="F60" s="12"/>
      <c r="G60" s="12" t="s">
        <v>21</v>
      </c>
      <c r="H60" s="12" t="s">
        <v>103</v>
      </c>
      <c r="I60" s="12"/>
      <c r="J60" s="22" t="s">
        <v>56</v>
      </c>
      <c r="N60" s="5"/>
    </row>
    <row r="61" spans="3:16" ht="25" x14ac:dyDescent="0.25">
      <c r="C61" s="1"/>
      <c r="F61" s="12"/>
      <c r="G61" s="13" t="s">
        <v>96</v>
      </c>
      <c r="H61" s="12">
        <f>23.4375* 9.99</f>
        <v>234.140625</v>
      </c>
      <c r="I61" s="12"/>
      <c r="J61" s="12"/>
    </row>
    <row r="62" spans="3:16" ht="25" x14ac:dyDescent="0.25">
      <c r="C62" s="8"/>
      <c r="F62" s="12"/>
      <c r="G62" s="12"/>
      <c r="H62" s="12"/>
      <c r="I62" s="12"/>
      <c r="J62" s="12"/>
    </row>
    <row r="63" spans="3:16" ht="25" x14ac:dyDescent="0.25">
      <c r="C63" s="1"/>
      <c r="K63" s="12"/>
    </row>
    <row r="64" spans="3:16" ht="25" x14ac:dyDescent="0.25">
      <c r="C64" s="8"/>
      <c r="G64" s="12" t="s">
        <v>22</v>
      </c>
      <c r="H64" s="12" t="s">
        <v>129</v>
      </c>
      <c r="I64" s="12"/>
      <c r="J64" s="22">
        <f>4.4375*24.99</f>
        <v>110.893125</v>
      </c>
      <c r="K64" s="12"/>
      <c r="L64" s="12"/>
      <c r="M64" s="12"/>
      <c r="N64" s="4"/>
    </row>
    <row r="65" spans="3:16" ht="25" x14ac:dyDescent="0.25">
      <c r="C65" s="1"/>
      <c r="E65" s="12"/>
      <c r="F65" s="12"/>
      <c r="G65" s="13" t="s">
        <v>96</v>
      </c>
      <c r="H65" s="12">
        <f>4.4375*24.99</f>
        <v>110.893125</v>
      </c>
      <c r="I65" s="12"/>
      <c r="J65" s="12"/>
      <c r="K65" s="12"/>
      <c r="L65" s="12"/>
      <c r="M65" s="12"/>
      <c r="P65" s="5"/>
    </row>
    <row r="66" spans="3:16" ht="25" x14ac:dyDescent="0.25">
      <c r="C66" s="21"/>
      <c r="E66" s="12"/>
      <c r="F66" s="12"/>
      <c r="G66" s="12"/>
      <c r="H66" s="12"/>
      <c r="I66" s="12"/>
      <c r="J66" s="12"/>
      <c r="K66" s="12"/>
      <c r="L66" s="12"/>
      <c r="M66" s="12"/>
    </row>
    <row r="67" spans="3:16" ht="25" x14ac:dyDescent="0.25">
      <c r="C67" s="1"/>
      <c r="E67" s="12"/>
      <c r="F67" s="12"/>
      <c r="G67" s="12" t="s">
        <v>130</v>
      </c>
      <c r="H67" s="22" t="s">
        <v>109</v>
      </c>
      <c r="L67" s="12"/>
      <c r="M67" s="12"/>
      <c r="P67" s="5"/>
    </row>
    <row r="68" spans="3:16" ht="25" x14ac:dyDescent="0.25">
      <c r="C68" s="1"/>
      <c r="D68" s="12"/>
      <c r="E68" s="12"/>
      <c r="F68" s="12"/>
      <c r="L68" s="12"/>
      <c r="M68" s="12"/>
    </row>
    <row r="69" spans="3:16" ht="25" x14ac:dyDescent="0.25">
      <c r="C69" s="1"/>
      <c r="D69" s="12"/>
      <c r="E69" s="12"/>
      <c r="F69" s="12"/>
      <c r="G69" s="12" t="s">
        <v>23</v>
      </c>
      <c r="H69" s="12" t="s">
        <v>104</v>
      </c>
      <c r="I69" s="12"/>
      <c r="J69" s="12" t="s">
        <v>105</v>
      </c>
      <c r="K69" s="12"/>
      <c r="L69" s="12"/>
      <c r="M69" s="12"/>
    </row>
    <row r="70" spans="3:16" ht="25" x14ac:dyDescent="0.25">
      <c r="C70" s="12"/>
      <c r="D70" s="12"/>
      <c r="E70" s="12"/>
      <c r="F70" s="12"/>
      <c r="G70" s="13" t="s">
        <v>96</v>
      </c>
      <c r="H70" s="12">
        <f>2.375*39.99</f>
        <v>94.976250000000007</v>
      </c>
      <c r="I70" s="12"/>
      <c r="J70" s="12"/>
      <c r="K70" s="12"/>
      <c r="L70" s="12"/>
      <c r="M70" s="12"/>
    </row>
    <row r="71" spans="3:16" ht="25" x14ac:dyDescent="0.25">
      <c r="D71" s="12"/>
      <c r="E71" s="12"/>
      <c r="F71" s="12"/>
      <c r="G71" s="12"/>
      <c r="H71" s="12"/>
      <c r="I71" s="12"/>
      <c r="J71" s="12"/>
      <c r="K71" s="12"/>
      <c r="L71" s="12"/>
      <c r="M71" s="12"/>
      <c r="P71" s="4"/>
    </row>
    <row r="72" spans="3:16" ht="25" x14ac:dyDescent="0.25">
      <c r="D72" s="12"/>
      <c r="E72" s="12"/>
      <c r="F72" s="12"/>
      <c r="G72" s="12" t="s">
        <v>130</v>
      </c>
      <c r="H72" s="22" t="s">
        <v>105</v>
      </c>
      <c r="K72" s="12"/>
      <c r="L72" s="12"/>
      <c r="M72" s="12"/>
    </row>
    <row r="73" spans="3:16" ht="25" x14ac:dyDescent="0.25">
      <c r="D73" s="12"/>
      <c r="E73" s="12"/>
      <c r="F73" s="12"/>
      <c r="L73" s="12"/>
      <c r="M73" s="12"/>
    </row>
    <row r="74" spans="3:16" ht="25" x14ac:dyDescent="0.25">
      <c r="D74" s="12"/>
      <c r="E74" s="12"/>
      <c r="F74" s="12"/>
      <c r="K74" s="12"/>
      <c r="L74" s="12"/>
      <c r="M74" s="12"/>
    </row>
    <row r="75" spans="3:16" ht="25" x14ac:dyDescent="0.25">
      <c r="D75" s="12"/>
      <c r="E75" s="12"/>
      <c r="F75" s="16" t="s">
        <v>106</v>
      </c>
      <c r="G75" s="12" t="s">
        <v>313</v>
      </c>
      <c r="I75" s="12"/>
      <c r="J75" s="12"/>
      <c r="K75" s="12"/>
      <c r="L75" s="12"/>
      <c r="M75" s="12"/>
      <c r="P75" s="4"/>
    </row>
    <row r="76" spans="3:16" ht="25" x14ac:dyDescent="0.25">
      <c r="D76" s="12"/>
      <c r="E76" s="12"/>
      <c r="F76" s="12"/>
      <c r="G76" s="12"/>
      <c r="H76" s="12"/>
      <c r="I76" s="12"/>
      <c r="J76" s="12"/>
      <c r="K76" s="12"/>
      <c r="L76" s="12"/>
      <c r="M76" s="12"/>
    </row>
    <row r="77" spans="3:16" ht="25" x14ac:dyDescent="0.25">
      <c r="D77" s="12"/>
      <c r="E77" s="12"/>
      <c r="F77" s="12"/>
      <c r="G77" s="12" t="s">
        <v>131</v>
      </c>
      <c r="K77" s="12"/>
      <c r="L77" s="12"/>
      <c r="M77" s="12"/>
    </row>
    <row r="78" spans="3:16" ht="25" x14ac:dyDescent="0.25">
      <c r="D78" s="12"/>
      <c r="E78" s="12"/>
      <c r="F78" s="12"/>
      <c r="G78" s="12" t="s">
        <v>110</v>
      </c>
      <c r="K78" s="12"/>
      <c r="L78" s="12"/>
      <c r="M78" s="12"/>
    </row>
    <row r="79" spans="3:16" ht="25" x14ac:dyDescent="0.25">
      <c r="D79" s="12"/>
      <c r="E79" s="12"/>
      <c r="F79" s="12" t="s">
        <v>96</v>
      </c>
      <c r="G79" s="12">
        <f>234.140625+110.893125+94.97625</f>
        <v>440.01</v>
      </c>
      <c r="K79" s="12"/>
      <c r="L79" s="12"/>
      <c r="M79" s="12"/>
      <c r="P79" s="5"/>
    </row>
    <row r="80" spans="3:16" ht="25" x14ac:dyDescent="0.25">
      <c r="D80" s="12"/>
      <c r="E80" s="12"/>
      <c r="F80" s="12"/>
      <c r="G80" s="12" t="s">
        <v>112</v>
      </c>
      <c r="L80" s="12"/>
      <c r="M80" s="12"/>
    </row>
    <row r="81" spans="4:16" ht="25" x14ac:dyDescent="0.25">
      <c r="D81" s="12"/>
      <c r="E81" s="12"/>
      <c r="F81" s="12"/>
      <c r="G81" s="12" t="s">
        <v>132</v>
      </c>
      <c r="J81" s="12"/>
      <c r="L81" s="12"/>
      <c r="M81" s="12"/>
    </row>
    <row r="82" spans="4:16" ht="25" x14ac:dyDescent="0.25">
      <c r="D82" s="12"/>
      <c r="E82" s="12"/>
      <c r="F82" s="16" t="s">
        <v>133</v>
      </c>
      <c r="G82" s="12" t="s">
        <v>134</v>
      </c>
      <c r="H82" s="12"/>
      <c r="I82" s="12"/>
      <c r="J82" s="12"/>
      <c r="K82" s="12"/>
      <c r="L82" s="12"/>
      <c r="M82" s="12"/>
    </row>
    <row r="83" spans="4:16" ht="25" x14ac:dyDescent="0.25">
      <c r="D83" s="12"/>
      <c r="E83" s="12"/>
      <c r="F83" s="12"/>
      <c r="H83" s="12"/>
      <c r="I83" s="12"/>
      <c r="J83" s="12"/>
      <c r="K83" s="12"/>
      <c r="L83" s="12"/>
      <c r="M83" s="12"/>
    </row>
    <row r="84" spans="4:16" ht="25" x14ac:dyDescent="0.25">
      <c r="D84" s="12"/>
      <c r="E84" s="12"/>
      <c r="F84" s="12"/>
      <c r="G84" s="12" t="s">
        <v>111</v>
      </c>
      <c r="H84" s="12"/>
      <c r="I84" s="12"/>
      <c r="J84" s="12"/>
      <c r="K84" s="12"/>
      <c r="L84" s="12"/>
      <c r="M84" s="12"/>
    </row>
    <row r="85" spans="4:16" ht="25" x14ac:dyDescent="0.25">
      <c r="D85" s="12"/>
      <c r="E85" s="12"/>
      <c r="F85" s="12"/>
      <c r="G85" s="12" t="s">
        <v>135</v>
      </c>
      <c r="H85" s="12" t="s">
        <v>71</v>
      </c>
      <c r="I85" s="12"/>
      <c r="J85" s="12"/>
      <c r="K85" s="12"/>
      <c r="L85" s="12"/>
      <c r="M85" s="12"/>
      <c r="P85" s="4"/>
    </row>
    <row r="86" spans="4:16" ht="25" x14ac:dyDescent="0.25">
      <c r="D86" s="12"/>
      <c r="E86" s="12"/>
      <c r="F86" s="12" t="s">
        <v>96</v>
      </c>
      <c r="G86" s="12">
        <f>25*14.99</f>
        <v>374.75</v>
      </c>
      <c r="H86" s="12"/>
      <c r="I86" s="12"/>
      <c r="J86" s="12"/>
      <c r="K86" s="12"/>
      <c r="L86" s="12"/>
      <c r="M86" s="12"/>
    </row>
    <row r="87" spans="4:16" ht="25" x14ac:dyDescent="0.25">
      <c r="D87" s="12"/>
      <c r="E87" s="12"/>
      <c r="F87" s="12"/>
      <c r="H87" s="12"/>
      <c r="I87" s="12"/>
      <c r="J87" s="12"/>
      <c r="K87" s="12"/>
      <c r="L87" s="12"/>
      <c r="M87" s="12"/>
      <c r="P87" s="5"/>
    </row>
    <row r="88" spans="4:16" ht="25" x14ac:dyDescent="0.25">
      <c r="D88" s="12"/>
      <c r="E88" s="12"/>
      <c r="F88" s="12"/>
      <c r="G88" s="12" t="s">
        <v>136</v>
      </c>
      <c r="H88" s="12"/>
      <c r="I88" s="12"/>
      <c r="J88" s="12"/>
      <c r="K88" s="12"/>
      <c r="L88" s="12"/>
      <c r="M88" s="12"/>
    </row>
    <row r="89" spans="4:16" ht="25" x14ac:dyDescent="0.25">
      <c r="D89" s="12"/>
      <c r="E89" s="12"/>
      <c r="F89" s="12"/>
      <c r="G89" s="12" t="s">
        <v>112</v>
      </c>
      <c r="H89" s="12"/>
      <c r="I89" s="12"/>
      <c r="J89" s="12"/>
      <c r="K89" s="12"/>
      <c r="L89" s="12"/>
      <c r="M89" s="12"/>
    </row>
    <row r="90" spans="4:16" ht="25" x14ac:dyDescent="0.25">
      <c r="D90" s="12"/>
      <c r="E90" s="12"/>
      <c r="F90" s="12"/>
      <c r="G90" s="12"/>
      <c r="H90" s="12"/>
      <c r="I90" s="12"/>
      <c r="J90" s="12"/>
      <c r="K90" s="12"/>
      <c r="L90" s="12"/>
      <c r="M90" s="12"/>
    </row>
    <row r="91" spans="4:16" ht="25" x14ac:dyDescent="0.25">
      <c r="D91" s="12"/>
      <c r="E91" s="12"/>
      <c r="F91" s="12"/>
      <c r="G91" s="12" t="s">
        <v>137</v>
      </c>
      <c r="H91" s="12"/>
      <c r="I91" s="12"/>
      <c r="J91" s="12"/>
      <c r="K91" s="12"/>
      <c r="L91" s="12"/>
      <c r="M91" s="12"/>
      <c r="P91" s="4"/>
    </row>
    <row r="92" spans="4:16" ht="25" x14ac:dyDescent="0.25">
      <c r="D92" s="12"/>
      <c r="E92" s="12"/>
      <c r="F92" s="12"/>
      <c r="H92" s="12"/>
      <c r="I92" s="12"/>
      <c r="J92" s="12"/>
      <c r="K92" s="12"/>
      <c r="L92" s="12"/>
      <c r="M92" s="12"/>
    </row>
    <row r="93" spans="4:16" ht="25" x14ac:dyDescent="0.25">
      <c r="D93" s="12"/>
      <c r="E93" s="12"/>
      <c r="F93" s="12"/>
      <c r="G93" s="12" t="s">
        <v>138</v>
      </c>
      <c r="H93" s="12" t="s">
        <v>114</v>
      </c>
      <c r="I93" s="12"/>
      <c r="J93" s="12"/>
      <c r="K93" s="12"/>
      <c r="L93" s="12"/>
      <c r="M93" s="12"/>
    </row>
    <row r="94" spans="4:16" ht="25" x14ac:dyDescent="0.25">
      <c r="D94" s="12"/>
      <c r="E94" s="12"/>
      <c r="F94" s="12" t="s">
        <v>96</v>
      </c>
      <c r="G94" s="12">
        <f>440.01-374.75</f>
        <v>65.259999999999991</v>
      </c>
      <c r="H94" s="12"/>
      <c r="I94" s="12"/>
      <c r="J94" s="12"/>
      <c r="K94" s="12"/>
      <c r="L94" s="12"/>
      <c r="M94" s="12"/>
    </row>
    <row r="95" spans="4:16" ht="25" x14ac:dyDescent="0.25">
      <c r="D95" s="12"/>
      <c r="E95" s="12"/>
      <c r="F95" s="12"/>
      <c r="J95" s="12"/>
      <c r="K95" s="12"/>
      <c r="L95" s="12"/>
      <c r="M95" s="12"/>
      <c r="P95" s="5"/>
    </row>
    <row r="96" spans="4:16" ht="25" x14ac:dyDescent="0.25">
      <c r="D96" s="12"/>
      <c r="E96" s="12"/>
      <c r="F96" s="12"/>
      <c r="G96" s="12" t="s">
        <v>113</v>
      </c>
      <c r="H96" s="12"/>
      <c r="I96" s="12"/>
      <c r="J96" s="12"/>
      <c r="K96" s="12"/>
      <c r="L96" s="12"/>
      <c r="M96" s="12"/>
    </row>
    <row r="97" spans="4:16" ht="25" x14ac:dyDescent="0.25">
      <c r="D97" s="12"/>
      <c r="E97" s="12"/>
      <c r="F97" s="12"/>
      <c r="G97" s="12" t="s">
        <v>139</v>
      </c>
      <c r="H97" s="12" t="s">
        <v>311</v>
      </c>
      <c r="I97" s="12"/>
      <c r="J97" s="12"/>
      <c r="K97" s="12"/>
      <c r="L97" s="12"/>
      <c r="M97" s="12"/>
    </row>
    <row r="98" spans="4:16" ht="25" x14ac:dyDescent="0.25">
      <c r="D98" s="12"/>
      <c r="E98" s="12"/>
      <c r="F98" s="12" t="s">
        <v>96</v>
      </c>
      <c r="G98" s="12">
        <f>65.26*12</f>
        <v>783.12000000000012</v>
      </c>
      <c r="H98" s="12"/>
      <c r="I98" s="12"/>
      <c r="M98" s="12"/>
    </row>
    <row r="99" spans="4:16" ht="25" x14ac:dyDescent="0.25">
      <c r="D99" s="12"/>
      <c r="E99" s="12"/>
      <c r="F99" s="12"/>
      <c r="H99" s="12"/>
      <c r="I99" s="12"/>
      <c r="M99" s="12"/>
      <c r="P99" s="5"/>
    </row>
    <row r="100" spans="4:16" ht="25" x14ac:dyDescent="0.25">
      <c r="D100" s="12"/>
      <c r="E100" s="12"/>
      <c r="F100" s="12"/>
      <c r="H100" s="12"/>
      <c r="I100" s="12"/>
      <c r="J100" s="5"/>
      <c r="M100" s="12"/>
    </row>
    <row r="101" spans="4:16" ht="25" x14ac:dyDescent="0.25">
      <c r="D101" s="12"/>
      <c r="E101" s="12"/>
      <c r="F101" s="12"/>
      <c r="G101" s="12" t="s">
        <v>140</v>
      </c>
      <c r="H101" s="12"/>
      <c r="I101" s="12"/>
      <c r="M101" s="12"/>
    </row>
    <row r="102" spans="4:16" ht="25" x14ac:dyDescent="0.25">
      <c r="D102" s="12"/>
      <c r="E102" s="12"/>
      <c r="F102" s="12"/>
      <c r="G102" s="12" t="s">
        <v>114</v>
      </c>
      <c r="H102" s="12"/>
      <c r="I102" s="12"/>
      <c r="J102" s="4"/>
      <c r="M102" s="12"/>
    </row>
    <row r="103" spans="4:16" ht="25" x14ac:dyDescent="0.25">
      <c r="D103" s="12"/>
      <c r="E103" s="12"/>
      <c r="F103" s="12"/>
      <c r="G103" s="12"/>
      <c r="H103" s="12"/>
      <c r="I103" s="12"/>
      <c r="M103" s="12"/>
      <c r="P103" s="5"/>
    </row>
    <row r="104" spans="4:16" ht="25" x14ac:dyDescent="0.25">
      <c r="D104" s="12"/>
      <c r="E104" s="12"/>
      <c r="F104" s="12"/>
      <c r="G104" s="38" t="s">
        <v>115</v>
      </c>
      <c r="H104" s="12"/>
      <c r="I104" s="12"/>
      <c r="J104" s="5"/>
      <c r="M104" s="12"/>
    </row>
    <row r="105" spans="4:16" ht="25" x14ac:dyDescent="0.25">
      <c r="D105" s="12"/>
      <c r="E105" s="12"/>
      <c r="F105" s="12"/>
      <c r="G105" s="12"/>
      <c r="H105" s="12"/>
      <c r="I105" s="12"/>
      <c r="M105" s="12"/>
    </row>
    <row r="106" spans="4:16" ht="25" x14ac:dyDescent="0.25">
      <c r="D106" s="12"/>
      <c r="E106" s="12"/>
      <c r="F106" s="12"/>
      <c r="G106" s="12" t="s">
        <v>141</v>
      </c>
      <c r="H106" s="12"/>
      <c r="I106" s="12"/>
      <c r="J106" s="5"/>
      <c r="M106" s="12"/>
    </row>
    <row r="107" spans="4:16" ht="25" x14ac:dyDescent="0.25">
      <c r="D107" s="12"/>
      <c r="E107" s="12"/>
      <c r="F107" s="12"/>
      <c r="G107" s="12"/>
      <c r="H107" s="12"/>
      <c r="I107" s="12"/>
      <c r="M107" s="12"/>
    </row>
    <row r="108" spans="4:16" ht="156" x14ac:dyDescent="0.25">
      <c r="D108" s="12"/>
      <c r="E108" s="12"/>
      <c r="F108" s="22"/>
      <c r="G108" s="26" t="s">
        <v>142</v>
      </c>
      <c r="H108" s="12"/>
      <c r="I108" s="12"/>
      <c r="M108" s="12"/>
    </row>
    <row r="109" spans="4:16" ht="25" x14ac:dyDescent="0.25">
      <c r="D109" s="12"/>
      <c r="E109" s="12"/>
      <c r="F109" s="12"/>
      <c r="G109" s="12"/>
      <c r="H109" s="12"/>
      <c r="I109" s="12"/>
      <c r="M109" s="12"/>
    </row>
    <row r="110" spans="4:16" ht="32" x14ac:dyDescent="0.4">
      <c r="D110" s="12"/>
      <c r="E110" s="12"/>
      <c r="F110" s="22"/>
      <c r="G110" s="12" t="s">
        <v>143</v>
      </c>
      <c r="H110" s="12"/>
      <c r="I110" s="12"/>
      <c r="J110" s="24"/>
      <c r="M110" s="12"/>
    </row>
    <row r="111" spans="4:16" ht="25" x14ac:dyDescent="0.25">
      <c r="D111" s="12"/>
      <c r="E111" s="12"/>
      <c r="F111" s="12"/>
      <c r="G111" s="12"/>
      <c r="H111" s="12"/>
      <c r="I111" s="12"/>
      <c r="M111" s="12"/>
    </row>
    <row r="112" spans="4:16" ht="25" x14ac:dyDescent="0.25">
      <c r="D112" s="12"/>
      <c r="E112" s="12"/>
      <c r="F112" s="12"/>
      <c r="G112" s="12" t="s">
        <v>144</v>
      </c>
      <c r="H112" s="12"/>
      <c r="I112" s="12"/>
      <c r="M112" s="12"/>
    </row>
    <row r="113" spans="4:13" ht="25" x14ac:dyDescent="0.25">
      <c r="D113" s="12"/>
      <c r="E113" s="12"/>
      <c r="F113" s="12"/>
      <c r="G113" s="12" t="s">
        <v>145</v>
      </c>
      <c r="H113" s="12"/>
      <c r="I113" s="12"/>
      <c r="M113" s="12"/>
    </row>
    <row r="114" spans="4:13" ht="25" x14ac:dyDescent="0.25">
      <c r="D114" s="12"/>
      <c r="E114" s="12"/>
      <c r="F114" s="12"/>
      <c r="G114" s="12" t="s">
        <v>146</v>
      </c>
      <c r="H114" s="12"/>
      <c r="I114" s="12"/>
      <c r="M114" s="12"/>
    </row>
    <row r="115" spans="4:13" ht="25" x14ac:dyDescent="0.25">
      <c r="D115" s="12"/>
      <c r="E115" s="12"/>
      <c r="F115" s="12"/>
      <c r="G115" s="12" t="s">
        <v>147</v>
      </c>
      <c r="H115" s="12"/>
      <c r="I115" s="12"/>
      <c r="M115" s="12"/>
    </row>
    <row r="116" spans="4:13" ht="25" x14ac:dyDescent="0.25">
      <c r="D116" s="12"/>
      <c r="E116" s="12"/>
      <c r="F116" s="12"/>
      <c r="G116" s="12" t="s">
        <v>148</v>
      </c>
      <c r="H116" s="12"/>
      <c r="I116" s="12"/>
      <c r="M116" s="12"/>
    </row>
    <row r="117" spans="4:13" ht="25" x14ac:dyDescent="0.25">
      <c r="D117" s="12"/>
      <c r="E117" s="12"/>
      <c r="F117" s="12"/>
      <c r="G117" s="12"/>
      <c r="H117" s="12"/>
      <c r="I117" s="12"/>
      <c r="M117" s="12"/>
    </row>
    <row r="118" spans="4:13" ht="25" x14ac:dyDescent="0.25">
      <c r="D118" s="12"/>
      <c r="E118" s="12"/>
      <c r="F118" s="12"/>
      <c r="G118" s="12" t="s">
        <v>149</v>
      </c>
      <c r="H118" s="12"/>
      <c r="I118" s="12"/>
      <c r="M118" s="12"/>
    </row>
    <row r="119" spans="4:13" ht="25" x14ac:dyDescent="0.25">
      <c r="D119" s="12"/>
      <c r="E119" s="12"/>
      <c r="F119" s="12"/>
      <c r="G119" s="12"/>
      <c r="H119" s="12"/>
      <c r="I119" s="12"/>
      <c r="M119" s="12"/>
    </row>
    <row r="120" spans="4:13" ht="25" x14ac:dyDescent="0.25">
      <c r="D120" s="12"/>
      <c r="E120" s="12"/>
      <c r="F120" s="12"/>
      <c r="G120" s="12" t="s">
        <v>150</v>
      </c>
      <c r="H120" s="12"/>
      <c r="I120" s="12"/>
      <c r="J120" s="5"/>
      <c r="M120" s="12"/>
    </row>
    <row r="121" spans="4:13" ht="25" x14ac:dyDescent="0.25">
      <c r="D121" s="12"/>
      <c r="E121" s="12"/>
      <c r="F121" s="12"/>
      <c r="G121" s="12" t="s">
        <v>151</v>
      </c>
      <c r="H121" s="12"/>
      <c r="I121" s="12"/>
      <c r="J121" s="5"/>
      <c r="M121" s="12"/>
    </row>
    <row r="122" spans="4:13" ht="25" x14ac:dyDescent="0.25">
      <c r="D122" s="12"/>
      <c r="E122" s="12"/>
      <c r="F122" s="12"/>
      <c r="G122" s="12"/>
      <c r="H122" s="12"/>
      <c r="I122" s="12"/>
      <c r="J122" s="5"/>
      <c r="M122" s="12"/>
    </row>
    <row r="123" spans="4:13" ht="25" x14ac:dyDescent="0.25">
      <c r="D123" s="12"/>
      <c r="E123" s="12"/>
      <c r="F123" s="12"/>
      <c r="G123" s="12"/>
      <c r="H123" s="12"/>
      <c r="I123" s="12"/>
      <c r="M123" s="12"/>
    </row>
    <row r="124" spans="4:13" ht="25" x14ac:dyDescent="0.25">
      <c r="D124" s="12"/>
      <c r="E124" s="12"/>
      <c r="F124" s="12"/>
      <c r="G124" s="12" t="s">
        <v>174</v>
      </c>
      <c r="H124" s="12"/>
      <c r="I124" s="12"/>
      <c r="M124" s="12"/>
    </row>
    <row r="125" spans="4:13" ht="32" x14ac:dyDescent="0.4">
      <c r="D125" s="12"/>
      <c r="E125" s="12"/>
      <c r="F125" s="12"/>
      <c r="G125" s="12" t="s">
        <v>175</v>
      </c>
      <c r="H125" s="12"/>
      <c r="I125" s="12"/>
      <c r="L125" s="24"/>
    </row>
    <row r="126" spans="4:13" ht="25" x14ac:dyDescent="0.25">
      <c r="D126" s="12"/>
      <c r="E126" s="12"/>
      <c r="F126" s="12"/>
      <c r="G126" s="12"/>
      <c r="H126" s="12"/>
      <c r="I126" s="12"/>
    </row>
    <row r="127" spans="4:13" ht="25" x14ac:dyDescent="0.25">
      <c r="D127" s="12"/>
      <c r="E127" s="12"/>
      <c r="F127" s="12"/>
      <c r="G127" s="12" t="s">
        <v>312</v>
      </c>
      <c r="H127" s="12"/>
      <c r="I127" s="12"/>
    </row>
    <row r="128" spans="4:13" ht="25" x14ac:dyDescent="0.25">
      <c r="D128" s="12"/>
      <c r="E128" s="12"/>
      <c r="F128" s="12"/>
      <c r="G128" s="12"/>
      <c r="H128" s="12"/>
      <c r="I128" s="12"/>
    </row>
    <row r="129" spans="4:12" ht="25" x14ac:dyDescent="0.25">
      <c r="D129" s="12"/>
      <c r="E129" s="12"/>
      <c r="F129" s="12"/>
      <c r="G129" s="12" t="s">
        <v>176</v>
      </c>
      <c r="H129" s="12"/>
      <c r="I129" s="12"/>
    </row>
    <row r="130" spans="4:12" ht="25" x14ac:dyDescent="0.25">
      <c r="D130" s="12"/>
      <c r="E130" s="12"/>
      <c r="F130" s="12"/>
      <c r="G130" s="12" t="s">
        <v>177</v>
      </c>
      <c r="H130" s="12"/>
      <c r="I130" s="12"/>
    </row>
    <row r="131" spans="4:12" ht="25" x14ac:dyDescent="0.25">
      <c r="D131" s="12"/>
      <c r="E131" s="12"/>
      <c r="F131" s="12"/>
      <c r="G131" s="12"/>
      <c r="H131" s="12"/>
      <c r="I131" s="12"/>
    </row>
    <row r="132" spans="4:12" ht="25" x14ac:dyDescent="0.25">
      <c r="D132" s="12"/>
      <c r="E132" s="12"/>
      <c r="F132" s="12"/>
      <c r="G132" s="12" t="s">
        <v>178</v>
      </c>
      <c r="H132" s="12"/>
      <c r="I132" s="12"/>
    </row>
    <row r="133" spans="4:12" ht="25" x14ac:dyDescent="0.25">
      <c r="D133" s="12"/>
      <c r="E133" s="12"/>
      <c r="F133" s="12"/>
      <c r="G133" s="12"/>
      <c r="H133" s="12"/>
      <c r="I133" s="12"/>
    </row>
    <row r="134" spans="4:12" ht="25" x14ac:dyDescent="0.25">
      <c r="D134" s="12"/>
      <c r="E134" s="12"/>
      <c r="F134" s="12"/>
      <c r="G134" s="29" t="s">
        <v>152</v>
      </c>
      <c r="H134" s="12"/>
      <c r="I134" s="12"/>
      <c r="J134" s="4"/>
    </row>
    <row r="135" spans="4:12" ht="25" x14ac:dyDescent="0.25">
      <c r="D135" s="12"/>
      <c r="E135" s="12"/>
      <c r="F135" s="12"/>
      <c r="G135" s="12"/>
      <c r="H135" s="12"/>
      <c r="I135" s="12"/>
    </row>
    <row r="136" spans="4:12" ht="25" x14ac:dyDescent="0.25">
      <c r="D136" s="12"/>
      <c r="E136" s="12"/>
      <c r="F136" s="12"/>
      <c r="G136" s="12" t="s">
        <v>181</v>
      </c>
      <c r="H136" s="12"/>
      <c r="I136" s="12"/>
      <c r="L136" s="4"/>
    </row>
    <row r="137" spans="4:12" ht="25" x14ac:dyDescent="0.25">
      <c r="D137" s="12"/>
      <c r="E137" s="12"/>
      <c r="F137" s="12"/>
      <c r="G137" s="12"/>
      <c r="H137" s="12"/>
      <c r="I137" s="12"/>
    </row>
    <row r="138" spans="4:12" ht="25" x14ac:dyDescent="0.25">
      <c r="D138" s="12"/>
      <c r="E138" s="12"/>
      <c r="F138" s="12"/>
      <c r="G138" s="12" t="s">
        <v>179</v>
      </c>
      <c r="H138" s="12"/>
      <c r="I138" s="12"/>
      <c r="J138" s="5"/>
    </row>
    <row r="139" spans="4:12" ht="25" x14ac:dyDescent="0.25">
      <c r="D139" s="12"/>
      <c r="E139" s="12"/>
      <c r="F139" s="12"/>
      <c r="G139" s="12"/>
      <c r="H139" s="12"/>
      <c r="I139" s="12"/>
      <c r="J139" s="12"/>
    </row>
    <row r="140" spans="4:12" ht="25" x14ac:dyDescent="0.25">
      <c r="D140" s="12"/>
      <c r="E140" s="12"/>
      <c r="F140" s="12"/>
      <c r="G140" s="12" t="s">
        <v>180</v>
      </c>
      <c r="H140" s="12"/>
      <c r="I140" s="12"/>
      <c r="J140" s="12"/>
      <c r="L140" s="4"/>
    </row>
    <row r="141" spans="4:12" ht="25" x14ac:dyDescent="0.25">
      <c r="D141" s="12"/>
      <c r="E141" s="12"/>
      <c r="F141" s="12"/>
      <c r="G141" s="12"/>
      <c r="H141" s="12"/>
      <c r="I141" s="12"/>
      <c r="J141" s="12"/>
    </row>
    <row r="142" spans="4:12" ht="25" x14ac:dyDescent="0.25">
      <c r="D142" s="12"/>
      <c r="E142" s="12"/>
      <c r="F142" s="12"/>
      <c r="G142" s="22" t="s">
        <v>182</v>
      </c>
      <c r="H142" s="22">
        <f>4.4375*5*0.3</f>
        <v>6.65625</v>
      </c>
      <c r="I142" s="12"/>
      <c r="J142" s="22" t="s">
        <v>183</v>
      </c>
    </row>
    <row r="143" spans="4:12" ht="25" x14ac:dyDescent="0.25">
      <c r="D143" s="12"/>
      <c r="E143" s="12"/>
      <c r="F143" s="12"/>
      <c r="G143" s="12"/>
      <c r="H143" s="12"/>
      <c r="I143" s="12"/>
      <c r="J143" s="12"/>
    </row>
    <row r="144" spans="4:12" ht="25" x14ac:dyDescent="0.25">
      <c r="D144" s="12"/>
      <c r="E144" s="12"/>
      <c r="F144" s="12"/>
      <c r="G144" s="12" t="s">
        <v>184</v>
      </c>
      <c r="H144" s="12"/>
      <c r="I144" s="12"/>
      <c r="J144" s="12"/>
    </row>
    <row r="145" spans="4:12" ht="25" x14ac:dyDescent="0.25">
      <c r="D145" s="12"/>
      <c r="E145" s="12"/>
      <c r="F145" s="12"/>
      <c r="G145" s="12"/>
      <c r="H145" s="12"/>
      <c r="I145" s="12"/>
      <c r="J145" s="12"/>
    </row>
    <row r="146" spans="4:12" ht="25" x14ac:dyDescent="0.25">
      <c r="D146" s="12"/>
      <c r="E146" s="12"/>
      <c r="F146" s="12"/>
      <c r="G146" s="12" t="s">
        <v>185</v>
      </c>
      <c r="H146" s="22">
        <f>H142*12</f>
        <v>79.875</v>
      </c>
      <c r="I146" s="12"/>
      <c r="J146" s="22" t="s">
        <v>186</v>
      </c>
    </row>
    <row r="147" spans="4:12" ht="25" x14ac:dyDescent="0.25">
      <c r="D147" s="12"/>
      <c r="E147" s="12"/>
      <c r="F147" s="12"/>
      <c r="G147" s="12"/>
      <c r="H147" s="12"/>
      <c r="I147" s="12"/>
      <c r="J147" s="12"/>
    </row>
    <row r="148" spans="4:12" ht="26" x14ac:dyDescent="0.3">
      <c r="D148" s="12"/>
      <c r="E148" s="12"/>
      <c r="F148" s="12"/>
      <c r="G148" s="12"/>
      <c r="H148" s="12"/>
      <c r="I148" s="12"/>
      <c r="J148" s="12"/>
      <c r="L148" s="23"/>
    </row>
    <row r="149" spans="4:12" ht="25" x14ac:dyDescent="0.25">
      <c r="D149" s="12"/>
      <c r="E149" s="12"/>
      <c r="F149" s="12"/>
      <c r="G149" s="22" t="s">
        <v>187</v>
      </c>
      <c r="H149" s="12"/>
      <c r="I149" s="12"/>
      <c r="J149" s="12"/>
    </row>
    <row r="150" spans="4:12" ht="25" x14ac:dyDescent="0.25">
      <c r="D150" s="12"/>
      <c r="E150" s="12"/>
      <c r="F150" s="12"/>
      <c r="G150" s="12"/>
      <c r="H150" s="12"/>
      <c r="I150" s="12"/>
      <c r="J150" s="12"/>
    </row>
    <row r="151" spans="4:12" ht="25" x14ac:dyDescent="0.25">
      <c r="D151" s="12"/>
      <c r="E151" s="12"/>
      <c r="F151" s="12"/>
      <c r="G151" s="29" t="s">
        <v>153</v>
      </c>
      <c r="H151" s="12"/>
      <c r="I151" s="12"/>
      <c r="J151" s="12"/>
    </row>
    <row r="152" spans="4:12" ht="25" x14ac:dyDescent="0.25">
      <c r="D152" s="12"/>
      <c r="E152" s="12"/>
      <c r="F152" s="12"/>
      <c r="G152" s="12"/>
      <c r="H152" s="12"/>
      <c r="I152" s="12"/>
      <c r="J152" s="12"/>
    </row>
    <row r="153" spans="4:12" ht="25" x14ac:dyDescent="0.25">
      <c r="D153" s="12"/>
      <c r="E153" s="12"/>
      <c r="F153" s="12"/>
      <c r="H153" s="12"/>
      <c r="I153" s="12"/>
      <c r="J153" s="12"/>
      <c r="L153" s="4"/>
    </row>
    <row r="154" spans="4:12" ht="25" x14ac:dyDescent="0.25">
      <c r="D154" s="12"/>
      <c r="E154" s="12"/>
      <c r="F154" s="12"/>
      <c r="G154" s="12" t="s">
        <v>188</v>
      </c>
      <c r="H154" s="12"/>
      <c r="I154" s="12"/>
      <c r="J154" s="12"/>
    </row>
    <row r="155" spans="4:12" ht="25" x14ac:dyDescent="0.25">
      <c r="D155" s="12"/>
      <c r="E155" s="12"/>
      <c r="F155" s="12"/>
      <c r="G155" s="12"/>
      <c r="H155" s="12"/>
      <c r="I155" s="12"/>
      <c r="J155" s="12"/>
    </row>
    <row r="156" spans="4:12" ht="25" x14ac:dyDescent="0.25">
      <c r="D156" s="12"/>
      <c r="E156" s="12"/>
      <c r="F156" s="12"/>
      <c r="G156" s="12" t="s">
        <v>189</v>
      </c>
      <c r="H156" s="12"/>
      <c r="I156" s="12"/>
      <c r="J156" s="12"/>
    </row>
    <row r="157" spans="4:12" ht="26" x14ac:dyDescent="0.3">
      <c r="D157" s="12"/>
      <c r="E157" s="12"/>
      <c r="F157" s="12"/>
      <c r="G157" s="12"/>
      <c r="H157" s="12"/>
      <c r="I157" s="12"/>
      <c r="J157" s="12"/>
      <c r="L157" s="23"/>
    </row>
    <row r="158" spans="4:12" ht="25" x14ac:dyDescent="0.25">
      <c r="D158" s="12"/>
      <c r="E158" s="12"/>
      <c r="F158" s="12"/>
      <c r="G158" s="12" t="s">
        <v>180</v>
      </c>
      <c r="H158" s="12"/>
      <c r="I158" s="12"/>
      <c r="J158" s="12"/>
    </row>
    <row r="159" spans="4:12" ht="25" x14ac:dyDescent="0.25">
      <c r="D159" s="12"/>
      <c r="E159" s="12"/>
      <c r="F159" s="12"/>
      <c r="G159" s="12"/>
      <c r="H159" s="12"/>
      <c r="I159" s="12"/>
      <c r="J159" s="12"/>
    </row>
    <row r="160" spans="4:12" ht="25" x14ac:dyDescent="0.25">
      <c r="D160" s="12"/>
      <c r="E160" s="12"/>
      <c r="F160" s="12"/>
      <c r="G160" s="12" t="s">
        <v>190</v>
      </c>
      <c r="H160" s="22">
        <f>2.375*10*0.3</f>
        <v>7.125</v>
      </c>
      <c r="I160" s="12"/>
      <c r="J160" s="22" t="s">
        <v>191</v>
      </c>
    </row>
    <row r="161" spans="4:12" ht="25" x14ac:dyDescent="0.25">
      <c r="D161" s="12"/>
      <c r="E161" s="12"/>
      <c r="F161" s="12"/>
      <c r="G161" s="12"/>
      <c r="H161" s="12"/>
      <c r="I161" s="12"/>
      <c r="J161" s="12"/>
    </row>
    <row r="162" spans="4:12" ht="25" x14ac:dyDescent="0.25">
      <c r="D162" s="12"/>
      <c r="E162" s="12"/>
      <c r="F162" s="12"/>
      <c r="G162" s="12" t="s">
        <v>184</v>
      </c>
      <c r="H162" s="12" t="s">
        <v>192</v>
      </c>
      <c r="I162" s="12">
        <f>7.125*12</f>
        <v>85.5</v>
      </c>
      <c r="J162" s="22" t="s">
        <v>193</v>
      </c>
    </row>
    <row r="163" spans="4:12" ht="25" x14ac:dyDescent="0.25">
      <c r="D163" s="12"/>
      <c r="E163" s="12"/>
      <c r="F163" s="12"/>
      <c r="G163" s="12"/>
      <c r="H163" s="12"/>
      <c r="I163" s="12"/>
      <c r="J163" s="12"/>
    </row>
    <row r="164" spans="4:12" ht="25" x14ac:dyDescent="0.25">
      <c r="D164" s="12"/>
      <c r="E164" s="12"/>
      <c r="F164" s="12"/>
      <c r="G164" s="22" t="s">
        <v>194</v>
      </c>
      <c r="H164" s="12"/>
      <c r="I164" s="12"/>
      <c r="J164" s="12"/>
    </row>
    <row r="165" spans="4:12" ht="25" x14ac:dyDescent="0.25">
      <c r="D165" s="12"/>
      <c r="E165" s="12"/>
      <c r="F165" s="12"/>
      <c r="G165" s="12"/>
      <c r="H165" s="12"/>
      <c r="I165" s="12"/>
      <c r="L165" s="5"/>
    </row>
    <row r="166" spans="4:12" ht="25" x14ac:dyDescent="0.25">
      <c r="D166" s="12"/>
      <c r="E166" s="12"/>
      <c r="F166" s="12"/>
      <c r="G166" s="29" t="s">
        <v>195</v>
      </c>
      <c r="H166" s="12"/>
      <c r="I166" s="12"/>
    </row>
    <row r="167" spans="4:12" ht="25" x14ac:dyDescent="0.25">
      <c r="D167" s="12"/>
      <c r="E167" s="12"/>
      <c r="F167" s="12"/>
      <c r="G167" s="12"/>
      <c r="H167" s="12"/>
      <c r="I167" s="12"/>
    </row>
    <row r="168" spans="4:12" ht="25" x14ac:dyDescent="0.25">
      <c r="D168" s="12"/>
      <c r="E168" s="12"/>
      <c r="F168" s="12"/>
      <c r="G168" s="12" t="s">
        <v>196</v>
      </c>
      <c r="H168" s="22">
        <f>79.875+85.5</f>
        <v>165.375</v>
      </c>
      <c r="I168" s="12"/>
      <c r="J168" s="22" t="s">
        <v>172</v>
      </c>
    </row>
    <row r="169" spans="4:12" ht="25" x14ac:dyDescent="0.25">
      <c r="D169" s="12"/>
      <c r="E169" s="12"/>
      <c r="F169" s="12"/>
      <c r="G169" s="12"/>
      <c r="H169" s="12"/>
      <c r="I169" s="12"/>
    </row>
    <row r="170" spans="4:12" ht="25" x14ac:dyDescent="0.25">
      <c r="D170" s="12"/>
      <c r="E170" s="12"/>
      <c r="F170" s="12"/>
      <c r="G170" s="40" t="s">
        <v>197</v>
      </c>
      <c r="H170" s="38"/>
      <c r="I170" s="12"/>
    </row>
    <row r="171" spans="4:12" ht="25" x14ac:dyDescent="0.25">
      <c r="D171" s="12"/>
      <c r="E171" s="12"/>
      <c r="F171" s="12"/>
      <c r="G171" s="12"/>
      <c r="H171" s="12"/>
      <c r="I171" s="12"/>
      <c r="L171" s="5"/>
    </row>
    <row r="172" spans="4:12" ht="25" x14ac:dyDescent="0.25">
      <c r="D172" s="12"/>
      <c r="E172" s="12"/>
      <c r="F172" s="12"/>
      <c r="G172" s="16" t="s">
        <v>321</v>
      </c>
      <c r="H172" s="12"/>
      <c r="I172" s="12"/>
      <c r="J172" s="12"/>
      <c r="K172" s="12"/>
    </row>
    <row r="173" spans="4:12" ht="25" x14ac:dyDescent="0.25">
      <c r="D173" s="12"/>
      <c r="E173" s="12"/>
      <c r="F173" s="12"/>
      <c r="G173" s="12"/>
      <c r="H173" s="12"/>
      <c r="I173" s="12"/>
      <c r="J173" s="12"/>
      <c r="K173" s="12"/>
      <c r="L173" s="4"/>
    </row>
    <row r="174" spans="4:12" ht="130" x14ac:dyDescent="0.25">
      <c r="D174" s="12"/>
      <c r="E174" s="12"/>
      <c r="F174" s="12"/>
      <c r="G174" s="14" t="s">
        <v>314</v>
      </c>
      <c r="H174" s="12"/>
      <c r="I174" s="12"/>
      <c r="J174" s="12"/>
      <c r="K174" s="12"/>
    </row>
    <row r="175" spans="4:12" ht="25" x14ac:dyDescent="0.25">
      <c r="D175" s="12"/>
      <c r="E175" s="12"/>
      <c r="F175" s="12"/>
      <c r="G175" s="12"/>
      <c r="H175" s="12"/>
      <c r="I175" s="12"/>
      <c r="J175" s="12"/>
      <c r="K175" s="12"/>
    </row>
    <row r="176" spans="4:12" ht="25" x14ac:dyDescent="0.25">
      <c r="D176" s="12"/>
      <c r="E176" s="12"/>
      <c r="F176" s="12"/>
      <c r="G176" s="12" t="s">
        <v>198</v>
      </c>
      <c r="H176" s="44">
        <f>783.12+165.375</f>
        <v>948.495</v>
      </c>
      <c r="I176" s="12"/>
      <c r="J176" s="22" t="s">
        <v>173</v>
      </c>
      <c r="K176" s="12"/>
    </row>
    <row r="177" spans="4:12" ht="32" x14ac:dyDescent="0.4">
      <c r="D177" s="12"/>
      <c r="E177" s="12"/>
      <c r="F177" s="12"/>
      <c r="G177" s="38" t="s">
        <v>310</v>
      </c>
      <c r="H177" s="12"/>
      <c r="I177" s="12"/>
      <c r="J177" s="12"/>
      <c r="K177" s="12"/>
      <c r="L177" s="24"/>
    </row>
    <row r="178" spans="4:12" ht="25" x14ac:dyDescent="0.25">
      <c r="D178" s="12"/>
      <c r="E178" s="12"/>
      <c r="F178" s="12"/>
      <c r="G178" s="12"/>
      <c r="H178" s="12"/>
      <c r="I178" s="12"/>
      <c r="J178" s="12"/>
      <c r="K178" s="12"/>
    </row>
    <row r="179" spans="4:12" ht="25" x14ac:dyDescent="0.25">
      <c r="D179" s="12"/>
      <c r="E179" s="12"/>
      <c r="F179" s="12"/>
      <c r="G179" s="22" t="s">
        <v>199</v>
      </c>
      <c r="H179" s="12"/>
      <c r="I179" s="12"/>
      <c r="J179" s="12"/>
      <c r="K179" s="12"/>
    </row>
    <row r="180" spans="4:12" ht="32" x14ac:dyDescent="0.4">
      <c r="D180" s="12"/>
      <c r="E180" s="12"/>
      <c r="F180" s="12"/>
      <c r="G180" s="40" t="s">
        <v>200</v>
      </c>
      <c r="H180" s="12"/>
      <c r="I180" s="12"/>
      <c r="J180" s="12"/>
      <c r="K180" s="12"/>
      <c r="L180" s="24"/>
    </row>
    <row r="181" spans="4:12" ht="25" x14ac:dyDescent="0.25">
      <c r="D181" s="12"/>
      <c r="E181" s="12"/>
      <c r="F181" s="12"/>
      <c r="G181" s="12"/>
      <c r="H181" s="12"/>
      <c r="I181" s="12"/>
      <c r="J181" s="12"/>
      <c r="K181" s="12"/>
    </row>
    <row r="182" spans="4:12" ht="25" x14ac:dyDescent="0.25">
      <c r="D182" s="12"/>
      <c r="E182" s="12"/>
      <c r="F182" s="12"/>
      <c r="G182" s="12"/>
      <c r="H182" s="12"/>
      <c r="I182" s="12"/>
      <c r="J182" s="12"/>
      <c r="K182" s="12"/>
    </row>
    <row r="183" spans="4:12" ht="25" x14ac:dyDescent="0.25">
      <c r="D183" s="12"/>
      <c r="E183" s="12"/>
      <c r="F183" s="12"/>
      <c r="G183" s="44" t="s">
        <v>201</v>
      </c>
      <c r="H183" s="12"/>
      <c r="I183" s="12"/>
      <c r="J183" s="12"/>
      <c r="K183" s="12"/>
    </row>
    <row r="184" spans="4:12" ht="25" x14ac:dyDescent="0.25">
      <c r="D184" s="12"/>
      <c r="E184" s="12"/>
      <c r="F184" s="12"/>
      <c r="G184" s="12"/>
      <c r="H184" s="12"/>
      <c r="I184" s="12"/>
      <c r="J184" s="12"/>
      <c r="K184" s="12"/>
      <c r="L184" s="5"/>
    </row>
    <row r="185" spans="4:12" ht="25" x14ac:dyDescent="0.25">
      <c r="D185" s="12"/>
      <c r="E185" s="12"/>
      <c r="F185" s="12"/>
      <c r="G185" s="22" t="s">
        <v>202</v>
      </c>
      <c r="H185" s="12"/>
      <c r="I185" s="12"/>
      <c r="J185" s="12"/>
      <c r="K185" s="12"/>
    </row>
    <row r="186" spans="4:12" ht="25" x14ac:dyDescent="0.25">
      <c r="D186" s="12"/>
      <c r="E186" s="12"/>
      <c r="F186" s="12"/>
      <c r="G186" s="12"/>
      <c r="H186" s="12"/>
      <c r="I186" s="12"/>
      <c r="J186" s="12"/>
      <c r="K186" s="12"/>
    </row>
    <row r="187" spans="4:12" ht="25" x14ac:dyDescent="0.25">
      <c r="D187" s="12"/>
      <c r="E187" s="12"/>
      <c r="F187" s="12"/>
      <c r="G187" s="40" t="s">
        <v>203</v>
      </c>
      <c r="H187" s="12"/>
      <c r="I187" s="12"/>
      <c r="J187" s="12"/>
      <c r="K187" s="12"/>
    </row>
    <row r="188" spans="4:12" ht="25" x14ac:dyDescent="0.25">
      <c r="D188" s="12"/>
      <c r="E188" s="12"/>
      <c r="F188" s="12"/>
      <c r="G188" s="12"/>
      <c r="H188" s="12"/>
      <c r="I188" s="12"/>
      <c r="J188" s="12"/>
      <c r="K188" s="12"/>
      <c r="L188" s="5"/>
    </row>
    <row r="189" spans="4:12" ht="25" x14ac:dyDescent="0.25">
      <c r="D189" s="12"/>
      <c r="E189" s="12"/>
      <c r="F189" s="12"/>
      <c r="G189" s="5" t="s">
        <v>156</v>
      </c>
      <c r="H189" s="5" t="s">
        <v>29</v>
      </c>
      <c r="I189" s="5" t="s">
        <v>30</v>
      </c>
      <c r="J189" s="12"/>
      <c r="K189" s="12"/>
    </row>
    <row r="190" spans="4:12" ht="25" x14ac:dyDescent="0.25">
      <c r="D190" s="12"/>
      <c r="E190" s="12"/>
      <c r="F190" s="12"/>
      <c r="G190" t="s">
        <v>157</v>
      </c>
      <c r="H190" t="s">
        <v>158</v>
      </c>
      <c r="I190" t="s">
        <v>101</v>
      </c>
      <c r="J190" s="12"/>
      <c r="K190" s="12"/>
      <c r="L190" s="4"/>
    </row>
    <row r="191" spans="4:12" ht="25" x14ac:dyDescent="0.25">
      <c r="D191" s="12"/>
      <c r="E191" s="12"/>
      <c r="F191" s="12"/>
      <c r="G191" t="s">
        <v>159</v>
      </c>
      <c r="H191" s="27">
        <v>15</v>
      </c>
      <c r="I191" s="27">
        <v>30</v>
      </c>
      <c r="J191" s="12"/>
      <c r="K191" s="12"/>
    </row>
    <row r="192" spans="4:12" ht="32" x14ac:dyDescent="0.4">
      <c r="D192" s="12"/>
      <c r="E192" s="12"/>
      <c r="F192" s="12"/>
      <c r="G192" t="s">
        <v>160</v>
      </c>
      <c r="H192" s="27">
        <v>20</v>
      </c>
      <c r="I192" s="27">
        <v>40</v>
      </c>
      <c r="K192" s="12"/>
      <c r="L192" s="24"/>
    </row>
    <row r="193" spans="4:12" ht="25" x14ac:dyDescent="0.25">
      <c r="D193" s="12"/>
      <c r="E193" s="12"/>
      <c r="F193" s="12"/>
      <c r="G193" s="5" t="s">
        <v>116</v>
      </c>
      <c r="H193" s="28">
        <v>5</v>
      </c>
      <c r="I193" s="28">
        <v>10</v>
      </c>
    </row>
    <row r="194" spans="4:12" ht="25" x14ac:dyDescent="0.25">
      <c r="D194" s="12"/>
      <c r="E194" s="12"/>
      <c r="F194" s="12"/>
      <c r="G194" t="s">
        <v>161</v>
      </c>
      <c r="H194" s="7">
        <v>0.3</v>
      </c>
      <c r="I194" s="7">
        <v>0.3</v>
      </c>
    </row>
    <row r="195" spans="4:12" ht="25" x14ac:dyDescent="0.25">
      <c r="D195" s="12"/>
      <c r="E195" s="12"/>
      <c r="F195" s="12"/>
      <c r="G195" t="s">
        <v>162</v>
      </c>
      <c r="H195" t="s">
        <v>163</v>
      </c>
      <c r="I195" t="s">
        <v>164</v>
      </c>
    </row>
    <row r="196" spans="4:12" ht="25" x14ac:dyDescent="0.25">
      <c r="D196" s="12"/>
      <c r="E196" s="12"/>
      <c r="F196" s="12"/>
      <c r="G196" s="5" t="s">
        <v>165</v>
      </c>
      <c r="H196" s="5" t="s">
        <v>166</v>
      </c>
      <c r="I196" s="5" t="s">
        <v>167</v>
      </c>
    </row>
    <row r="197" spans="4:12" ht="25" x14ac:dyDescent="0.25">
      <c r="D197" s="12"/>
      <c r="E197" s="12"/>
      <c r="F197" s="12"/>
      <c r="G197" s="12"/>
      <c r="H197" s="12"/>
    </row>
    <row r="198" spans="4:12" ht="32" x14ac:dyDescent="0.4">
      <c r="D198" s="12"/>
      <c r="E198" s="12"/>
      <c r="F198" s="12"/>
      <c r="G198" s="5" t="s">
        <v>168</v>
      </c>
      <c r="H198" s="5" t="s">
        <v>169</v>
      </c>
      <c r="L198" s="24"/>
    </row>
    <row r="199" spans="4:12" ht="25" x14ac:dyDescent="0.25">
      <c r="D199" s="12"/>
      <c r="E199" s="12"/>
      <c r="F199" s="12"/>
      <c r="G199" t="s">
        <v>170</v>
      </c>
      <c r="H199" s="5" t="s">
        <v>171</v>
      </c>
    </row>
    <row r="200" spans="4:12" ht="25" x14ac:dyDescent="0.25">
      <c r="D200" s="12"/>
      <c r="E200" s="12"/>
      <c r="F200" s="12"/>
      <c r="G200" t="s">
        <v>154</v>
      </c>
      <c r="H200" s="5" t="s">
        <v>172</v>
      </c>
    </row>
    <row r="201" spans="4:12" ht="25" x14ac:dyDescent="0.25">
      <c r="D201" s="12"/>
      <c r="E201" s="12"/>
      <c r="F201" s="12"/>
      <c r="G201" s="5" t="s">
        <v>155</v>
      </c>
      <c r="H201" s="46" t="s">
        <v>173</v>
      </c>
      <c r="I201" s="12"/>
    </row>
    <row r="202" spans="4:12" ht="25" x14ac:dyDescent="0.25">
      <c r="D202" s="12"/>
      <c r="E202" s="12"/>
      <c r="F202" s="12"/>
      <c r="G202" s="12"/>
      <c r="H202" s="12"/>
      <c r="I202" s="12"/>
      <c r="L202" s="4"/>
    </row>
    <row r="203" spans="4:12" ht="32" x14ac:dyDescent="0.4">
      <c r="D203" s="12"/>
      <c r="E203" s="12"/>
      <c r="F203" s="12"/>
      <c r="G203" s="12"/>
      <c r="H203" s="12"/>
      <c r="I203" s="12"/>
      <c r="J203" s="24"/>
    </row>
    <row r="204" spans="4:12" ht="25" x14ac:dyDescent="0.25">
      <c r="D204" s="12"/>
      <c r="E204" s="12"/>
      <c r="F204" s="12"/>
      <c r="G204" s="12"/>
      <c r="H204" s="12"/>
      <c r="I204" s="12"/>
      <c r="L204" s="5"/>
    </row>
    <row r="205" spans="4:12" ht="25" x14ac:dyDescent="0.25">
      <c r="D205" s="12"/>
      <c r="E205" s="12"/>
      <c r="F205" s="12"/>
      <c r="G205" s="12"/>
      <c r="H205" s="12"/>
      <c r="I205" s="12"/>
    </row>
    <row r="206" spans="4:12" ht="25" x14ac:dyDescent="0.25">
      <c r="D206" s="12"/>
      <c r="E206" s="12"/>
      <c r="F206" s="12"/>
      <c r="G206" s="12"/>
      <c r="H206" s="12"/>
      <c r="I206" s="12"/>
      <c r="L206" s="4"/>
    </row>
    <row r="207" spans="4:12" ht="25" x14ac:dyDescent="0.25">
      <c r="D207" s="12"/>
      <c r="E207" s="12"/>
      <c r="F207" s="12"/>
      <c r="G207" s="12"/>
      <c r="H207" s="12"/>
      <c r="I207" s="12"/>
      <c r="J207" s="5"/>
    </row>
    <row r="208" spans="4:12" ht="25" x14ac:dyDescent="0.25">
      <c r="D208" s="12"/>
      <c r="E208" s="12"/>
      <c r="F208" s="12"/>
      <c r="G208" s="12"/>
      <c r="H208" s="12"/>
      <c r="I208" s="12"/>
    </row>
    <row r="209" spans="4:11" ht="25" x14ac:dyDescent="0.25">
      <c r="D209" s="12"/>
      <c r="E209" s="12"/>
      <c r="F209" s="12"/>
      <c r="G209" s="12"/>
      <c r="H209" s="12"/>
      <c r="I209" s="12"/>
    </row>
    <row r="210" spans="4:11" ht="25" x14ac:dyDescent="0.25">
      <c r="D210" s="12"/>
      <c r="E210" s="12"/>
      <c r="F210" s="12"/>
      <c r="G210" s="12"/>
      <c r="H210" s="12"/>
      <c r="I210" s="12"/>
    </row>
    <row r="211" spans="4:11" ht="25" x14ac:dyDescent="0.25">
      <c r="D211" s="12"/>
      <c r="E211" s="12"/>
      <c r="F211" s="12"/>
      <c r="G211" s="12"/>
      <c r="H211" s="12"/>
      <c r="I211" s="12"/>
      <c r="J211" s="5"/>
    </row>
    <row r="212" spans="4:11" ht="25" x14ac:dyDescent="0.25">
      <c r="D212" s="12"/>
      <c r="E212" s="12"/>
      <c r="F212" s="12"/>
      <c r="G212" s="12"/>
      <c r="H212" s="12"/>
      <c r="I212" s="12"/>
    </row>
    <row r="213" spans="4:11" ht="25" x14ac:dyDescent="0.25">
      <c r="D213" s="12"/>
      <c r="E213" s="12"/>
      <c r="F213" s="12"/>
      <c r="G213" s="12"/>
      <c r="H213" s="12"/>
      <c r="I213" s="12"/>
    </row>
    <row r="214" spans="4:11" ht="25" x14ac:dyDescent="0.25">
      <c r="D214" s="12"/>
      <c r="E214" s="12"/>
      <c r="F214" s="12"/>
      <c r="G214" s="12"/>
      <c r="H214" s="12"/>
      <c r="I214" s="12"/>
      <c r="J214" s="5"/>
      <c r="K214" s="5"/>
    </row>
    <row r="215" spans="4:11" ht="25" x14ac:dyDescent="0.25">
      <c r="D215" s="12"/>
      <c r="E215" s="12"/>
      <c r="F215" s="12"/>
      <c r="G215" s="12"/>
      <c r="H215" s="12"/>
      <c r="I215" s="12"/>
    </row>
    <row r="216" spans="4:11" ht="25" x14ac:dyDescent="0.25">
      <c r="D216" s="12"/>
      <c r="E216" s="12"/>
      <c r="F216" s="12"/>
      <c r="G216" s="12"/>
      <c r="H216" s="12"/>
      <c r="I216" s="12"/>
      <c r="K216" s="27"/>
    </row>
    <row r="217" spans="4:11" ht="25" x14ac:dyDescent="0.25">
      <c r="D217" s="12"/>
      <c r="E217" s="12"/>
      <c r="F217" s="12"/>
      <c r="G217" s="12"/>
      <c r="H217" s="12"/>
      <c r="I217" s="12"/>
      <c r="K217" s="27"/>
    </row>
    <row r="218" spans="4:11" ht="25" x14ac:dyDescent="0.25">
      <c r="D218" s="12"/>
      <c r="E218" s="12"/>
      <c r="F218" s="12"/>
      <c r="G218" s="12"/>
      <c r="H218" s="12"/>
      <c r="I218" s="12"/>
      <c r="J218" s="5"/>
      <c r="K218" s="28"/>
    </row>
    <row r="219" spans="4:11" ht="25" x14ac:dyDescent="0.25">
      <c r="D219" s="12"/>
      <c r="E219" s="12"/>
      <c r="F219" s="12"/>
      <c r="G219" s="12"/>
      <c r="H219" s="12"/>
      <c r="I219" s="12"/>
      <c r="K219" s="7"/>
    </row>
    <row r="220" spans="4:11" ht="25" x14ac:dyDescent="0.25">
      <c r="D220" s="12"/>
      <c r="E220" s="12"/>
      <c r="F220" s="12"/>
      <c r="G220" s="12"/>
      <c r="H220" s="12"/>
      <c r="I220" s="12"/>
    </row>
    <row r="221" spans="4:11" ht="25" x14ac:dyDescent="0.25">
      <c r="D221" s="12"/>
      <c r="E221" s="12"/>
      <c r="F221" s="12"/>
      <c r="G221" s="12"/>
      <c r="H221" s="12"/>
      <c r="I221" s="12"/>
      <c r="J221" s="5"/>
      <c r="K221" s="5"/>
    </row>
    <row r="222" spans="4:11" ht="25" x14ac:dyDescent="0.25">
      <c r="D222" s="12"/>
      <c r="E222" s="12"/>
      <c r="F222" s="12"/>
      <c r="G222" s="12"/>
      <c r="H222" s="12"/>
      <c r="I222" s="12"/>
    </row>
    <row r="223" spans="4:11" ht="25" x14ac:dyDescent="0.25">
      <c r="D223" s="12"/>
      <c r="E223" s="12"/>
      <c r="F223" s="12"/>
      <c r="G223" s="12"/>
      <c r="H223" s="12"/>
      <c r="I223" s="12"/>
    </row>
    <row r="224" spans="4:11" ht="25" x14ac:dyDescent="0.25">
      <c r="D224" s="12"/>
      <c r="E224" s="12"/>
      <c r="F224" s="12"/>
      <c r="G224" s="12"/>
      <c r="H224" s="12"/>
      <c r="I224" s="12"/>
    </row>
    <row r="225" spans="4:14" ht="25" x14ac:dyDescent="0.25">
      <c r="D225" s="12"/>
      <c r="E225" s="12"/>
      <c r="F225" s="12"/>
      <c r="G225" s="12"/>
      <c r="H225" s="12"/>
      <c r="I225" s="12"/>
      <c r="K225" s="5"/>
    </row>
    <row r="226" spans="4:14" ht="25" x14ac:dyDescent="0.25">
      <c r="D226" s="12"/>
      <c r="E226" s="12"/>
      <c r="F226" s="12"/>
      <c r="G226" s="12"/>
      <c r="H226" s="12"/>
      <c r="I226" s="12"/>
      <c r="K226" s="5"/>
    </row>
    <row r="227" spans="4:14" ht="25" x14ac:dyDescent="0.25">
      <c r="D227" s="12"/>
      <c r="E227" s="12"/>
      <c r="F227" s="12"/>
      <c r="G227" s="12"/>
      <c r="H227" s="12"/>
      <c r="I227" s="12"/>
      <c r="K227" s="5"/>
    </row>
    <row r="228" spans="4:14" ht="25" x14ac:dyDescent="0.25">
      <c r="D228" s="12"/>
      <c r="E228" s="12"/>
      <c r="F228" s="12"/>
      <c r="G228" s="12"/>
      <c r="H228" s="12"/>
      <c r="I228" s="12"/>
      <c r="K228" s="5"/>
    </row>
    <row r="229" spans="4:14" ht="25" x14ac:dyDescent="0.25">
      <c r="D229" s="12"/>
      <c r="E229" s="12"/>
      <c r="F229" s="12"/>
      <c r="G229" s="12"/>
      <c r="H229" s="12"/>
      <c r="I229" s="12"/>
      <c r="J229" s="12"/>
      <c r="K229" s="12"/>
      <c r="N229" s="5"/>
    </row>
    <row r="230" spans="4:14" ht="25" x14ac:dyDescent="0.25">
      <c r="D230" s="12"/>
      <c r="E230" s="12"/>
      <c r="F230" s="12"/>
      <c r="G230" s="12"/>
      <c r="H230" s="12"/>
      <c r="I230" s="12"/>
      <c r="J230" s="12"/>
      <c r="K230" s="12"/>
    </row>
    <row r="231" spans="4:14" ht="25" x14ac:dyDescent="0.25">
      <c r="D231" s="12"/>
      <c r="E231" s="12"/>
      <c r="F231" s="12"/>
      <c r="G231" s="12"/>
      <c r="H231" s="12"/>
      <c r="I231" s="12"/>
      <c r="J231" s="12"/>
      <c r="K231" s="12"/>
      <c r="N231" s="27"/>
    </row>
    <row r="232" spans="4:14" ht="25" x14ac:dyDescent="0.25">
      <c r="D232" s="12"/>
      <c r="E232" s="12"/>
      <c r="F232" s="12"/>
      <c r="G232" s="12"/>
      <c r="H232" s="12"/>
      <c r="I232" s="12"/>
      <c r="J232" s="12"/>
      <c r="K232" s="12"/>
      <c r="N232" s="27"/>
    </row>
    <row r="233" spans="4:14" ht="25" x14ac:dyDescent="0.25">
      <c r="D233" s="12"/>
      <c r="E233" s="12"/>
      <c r="F233" s="12"/>
      <c r="G233" s="12"/>
      <c r="H233" s="12"/>
      <c r="I233" s="12"/>
      <c r="J233" s="12"/>
      <c r="K233" s="12"/>
      <c r="N233" s="28"/>
    </row>
    <row r="234" spans="4:14" ht="25" x14ac:dyDescent="0.25">
      <c r="D234" s="12"/>
      <c r="E234" s="12"/>
      <c r="F234" s="12"/>
      <c r="G234" s="12"/>
      <c r="H234" s="12"/>
      <c r="I234" s="12"/>
      <c r="J234" s="12"/>
      <c r="K234" s="12"/>
      <c r="N234" s="7"/>
    </row>
    <row r="235" spans="4:14" ht="25" x14ac:dyDescent="0.25">
      <c r="D235" s="12"/>
      <c r="E235" s="12"/>
      <c r="F235" s="12"/>
      <c r="G235" s="12"/>
      <c r="H235" s="12"/>
      <c r="I235" s="12"/>
      <c r="J235" s="12"/>
      <c r="K235" s="12"/>
    </row>
    <row r="236" spans="4:14" ht="25" x14ac:dyDescent="0.25">
      <c r="D236" s="12"/>
      <c r="E236" s="12"/>
      <c r="F236" s="12"/>
      <c r="G236" s="12"/>
      <c r="H236" s="12"/>
      <c r="I236" s="12"/>
      <c r="J236" s="12"/>
      <c r="K236" s="12"/>
      <c r="N236" s="5"/>
    </row>
    <row r="237" spans="4:14" ht="25" x14ac:dyDescent="0.25">
      <c r="D237" s="12"/>
      <c r="E237" s="12"/>
      <c r="F237" s="12"/>
      <c r="G237" s="12"/>
      <c r="H237" s="12"/>
      <c r="I237" s="12"/>
      <c r="J237" s="12"/>
      <c r="K237" s="12"/>
    </row>
    <row r="238" spans="4:14" ht="25" x14ac:dyDescent="0.25">
      <c r="D238" s="12"/>
      <c r="E238" s="12"/>
      <c r="F238" s="12"/>
      <c r="G238" s="12"/>
      <c r="H238" s="12"/>
      <c r="I238" s="12"/>
      <c r="J238" s="12"/>
      <c r="K238" s="12"/>
    </row>
    <row r="239" spans="4:14" ht="25" x14ac:dyDescent="0.25">
      <c r="D239" s="12"/>
      <c r="E239" s="12"/>
      <c r="F239" s="12"/>
      <c r="G239" s="12"/>
      <c r="H239" s="12"/>
      <c r="I239" s="12"/>
      <c r="J239" s="12"/>
      <c r="K239" s="12"/>
    </row>
    <row r="240" spans="4:14" ht="25" x14ac:dyDescent="0.25">
      <c r="D240" s="12"/>
      <c r="E240" s="12"/>
      <c r="F240" s="12"/>
      <c r="G240" s="12"/>
      <c r="H240" s="12"/>
      <c r="I240" s="12"/>
      <c r="J240" s="12"/>
      <c r="K240" s="12"/>
    </row>
    <row r="241" spans="4:11" ht="25" x14ac:dyDescent="0.25">
      <c r="D241" s="12"/>
      <c r="E241" s="12"/>
      <c r="F241" s="12"/>
      <c r="G241" s="12"/>
      <c r="H241" s="12"/>
      <c r="I241" s="12"/>
      <c r="J241" s="12"/>
      <c r="K241" s="12"/>
    </row>
    <row r="242" spans="4:11" ht="25" x14ac:dyDescent="0.25">
      <c r="D242" s="12"/>
      <c r="E242" s="12"/>
      <c r="F242" s="12"/>
      <c r="G242" s="12"/>
      <c r="H242" s="12"/>
      <c r="I242" s="12"/>
      <c r="J242" s="12"/>
      <c r="K242" s="12"/>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5862-5F17-524D-A81B-880AC4BBE42E}">
  <dimension ref="D5:I151"/>
  <sheetViews>
    <sheetView topLeftCell="D140" workbookViewId="0">
      <selection activeCell="H150" sqref="H150"/>
    </sheetView>
  </sheetViews>
  <sheetFormatPr baseColWidth="10" defaultRowHeight="16" x14ac:dyDescent="0.2"/>
  <cols>
    <col min="4" max="4" width="37.33203125" customWidth="1"/>
    <col min="5" max="5" width="52.5" customWidth="1"/>
    <col min="6" max="6" width="28.5" customWidth="1"/>
    <col min="7" max="7" width="20.5" customWidth="1"/>
    <col min="8" max="8" width="19.1640625" customWidth="1"/>
  </cols>
  <sheetData>
    <row r="5" spans="4:8" ht="153" x14ac:dyDescent="0.2">
      <c r="D5" s="30" t="s">
        <v>204</v>
      </c>
    </row>
    <row r="6" spans="4:8" ht="25" x14ac:dyDescent="0.25">
      <c r="E6" s="9" t="s">
        <v>207</v>
      </c>
    </row>
    <row r="7" spans="4:8" ht="25" x14ac:dyDescent="0.25">
      <c r="E7" s="22" t="s">
        <v>26</v>
      </c>
      <c r="F7" s="22" t="s">
        <v>205</v>
      </c>
      <c r="G7" s="22" t="s">
        <v>206</v>
      </c>
      <c r="H7" s="12"/>
    </row>
    <row r="8" spans="4:8" ht="25" x14ac:dyDescent="0.25">
      <c r="E8" s="12" t="s">
        <v>28</v>
      </c>
      <c r="F8" s="31">
        <v>0.05</v>
      </c>
      <c r="G8" s="32">
        <v>4.4999999999999998E-2</v>
      </c>
      <c r="H8" s="12"/>
    </row>
    <row r="9" spans="4:8" ht="25" x14ac:dyDescent="0.25">
      <c r="E9" s="12" t="s">
        <v>29</v>
      </c>
      <c r="F9" s="31">
        <v>0.04</v>
      </c>
      <c r="G9" s="31">
        <v>0.03</v>
      </c>
      <c r="H9" s="12"/>
    </row>
    <row r="10" spans="4:8" ht="25" x14ac:dyDescent="0.25">
      <c r="E10" s="12" t="s">
        <v>30</v>
      </c>
      <c r="F10" s="31">
        <v>0.03</v>
      </c>
      <c r="G10" s="31">
        <v>0.02</v>
      </c>
      <c r="H10" s="12"/>
    </row>
    <row r="12" spans="4:8" ht="25" x14ac:dyDescent="0.25">
      <c r="E12" s="9" t="s">
        <v>208</v>
      </c>
    </row>
    <row r="13" spans="4:8" ht="25" x14ac:dyDescent="0.25">
      <c r="E13" s="11" t="s">
        <v>209</v>
      </c>
    </row>
    <row r="15" spans="4:8" ht="25" x14ac:dyDescent="0.25">
      <c r="E15" s="22" t="s">
        <v>26</v>
      </c>
      <c r="F15" s="22" t="s">
        <v>210</v>
      </c>
      <c r="G15" s="22" t="s">
        <v>211</v>
      </c>
      <c r="H15" s="22" t="s">
        <v>212</v>
      </c>
    </row>
    <row r="16" spans="4:8" ht="25" x14ac:dyDescent="0.25">
      <c r="E16" s="12" t="s">
        <v>28</v>
      </c>
      <c r="F16" s="12" t="s">
        <v>213</v>
      </c>
      <c r="G16" s="12" t="s">
        <v>214</v>
      </c>
      <c r="H16" s="22" t="s">
        <v>215</v>
      </c>
    </row>
    <row r="17" spans="5:8" ht="25" x14ac:dyDescent="0.25">
      <c r="E17" s="12" t="s">
        <v>29</v>
      </c>
      <c r="F17" s="12" t="s">
        <v>216</v>
      </c>
      <c r="G17" s="12" t="s">
        <v>217</v>
      </c>
      <c r="H17" s="22" t="s">
        <v>218</v>
      </c>
    </row>
    <row r="18" spans="5:8" ht="25" x14ac:dyDescent="0.25">
      <c r="E18" s="12" t="s">
        <v>30</v>
      </c>
      <c r="F18" s="12" t="s">
        <v>217</v>
      </c>
      <c r="G18" s="12" t="s">
        <v>219</v>
      </c>
      <c r="H18" s="22" t="s">
        <v>220</v>
      </c>
    </row>
    <row r="20" spans="5:8" ht="260" x14ac:dyDescent="0.2">
      <c r="E20" s="17" t="s">
        <v>221</v>
      </c>
    </row>
    <row r="22" spans="5:8" ht="25" x14ac:dyDescent="0.25">
      <c r="E22" s="20" t="s">
        <v>222</v>
      </c>
    </row>
    <row r="23" spans="5:8" ht="25" x14ac:dyDescent="0.25">
      <c r="E23" s="9" t="s">
        <v>223</v>
      </c>
    </row>
    <row r="25" spans="5:8" ht="25" x14ac:dyDescent="0.25">
      <c r="E25" s="11" t="s">
        <v>224</v>
      </c>
    </row>
    <row r="26" spans="5:8" ht="25" x14ac:dyDescent="0.25">
      <c r="E26" s="9" t="s">
        <v>225</v>
      </c>
      <c r="G26" s="22">
        <f>18.75*14.99*2.22</f>
        <v>623.95875000000001</v>
      </c>
    </row>
    <row r="27" spans="5:8" ht="25" x14ac:dyDescent="0.25">
      <c r="F27" s="43" t="s">
        <v>315</v>
      </c>
    </row>
    <row r="29" spans="5:8" ht="25" x14ac:dyDescent="0.25">
      <c r="E29" s="11" t="s">
        <v>29</v>
      </c>
    </row>
    <row r="30" spans="5:8" ht="25" x14ac:dyDescent="0.25">
      <c r="E30" s="9" t="s">
        <v>226</v>
      </c>
      <c r="H30" s="33"/>
    </row>
    <row r="33" spans="5:8" ht="25" x14ac:dyDescent="0.25">
      <c r="E33" s="12" t="s">
        <v>227</v>
      </c>
      <c r="F33" s="12"/>
      <c r="G33" s="12">
        <f>3.75*14.99*((1/3%)-(1/4%))</f>
        <v>468.43750000000011</v>
      </c>
    </row>
    <row r="34" spans="5:8" ht="25" x14ac:dyDescent="0.25">
      <c r="G34" s="22" t="s">
        <v>228</v>
      </c>
    </row>
    <row r="36" spans="5:8" ht="27" x14ac:dyDescent="0.35">
      <c r="E36" s="9" t="s">
        <v>289</v>
      </c>
      <c r="F36" s="10"/>
      <c r="G36" s="12">
        <f>1/0.04</f>
        <v>25</v>
      </c>
      <c r="H36" s="10"/>
    </row>
    <row r="37" spans="5:8" ht="27" x14ac:dyDescent="0.35">
      <c r="E37" s="9" t="s">
        <v>290</v>
      </c>
      <c r="F37" s="10"/>
      <c r="G37" s="43">
        <f>1/0.03</f>
        <v>33.333333333333336</v>
      </c>
      <c r="H37" s="10"/>
    </row>
    <row r="38" spans="5:8" ht="27" x14ac:dyDescent="0.35">
      <c r="E38" s="9" t="s">
        <v>291</v>
      </c>
      <c r="F38" s="10"/>
      <c r="G38" s="12"/>
      <c r="H38" s="10"/>
    </row>
    <row r="39" spans="5:8" ht="27" x14ac:dyDescent="0.35">
      <c r="E39" s="9" t="s">
        <v>292</v>
      </c>
      <c r="F39" s="10"/>
      <c r="G39" s="12">
        <f>G37-G36</f>
        <v>8.3333333333333357</v>
      </c>
      <c r="H39" s="10"/>
    </row>
    <row r="40" spans="5:8" ht="27" x14ac:dyDescent="0.35">
      <c r="E40" s="9" t="s">
        <v>293</v>
      </c>
      <c r="F40" s="10"/>
      <c r="G40" s="12"/>
      <c r="H40" s="10"/>
    </row>
    <row r="41" spans="5:8" ht="27" x14ac:dyDescent="0.35">
      <c r="E41" s="9" t="s">
        <v>294</v>
      </c>
      <c r="F41" s="10"/>
      <c r="G41" s="12">
        <f>3.75*14.99*8.3333</f>
        <v>468.43562624999998</v>
      </c>
      <c r="H41" s="10"/>
    </row>
    <row r="48" spans="5:8" ht="25" x14ac:dyDescent="0.25">
      <c r="E48" s="22" t="s">
        <v>30</v>
      </c>
      <c r="F48" s="12"/>
      <c r="G48" s="12"/>
      <c r="H48" s="12"/>
    </row>
    <row r="49" spans="5:9" ht="25" x14ac:dyDescent="0.25">
      <c r="E49" s="9" t="s">
        <v>229</v>
      </c>
      <c r="F49" s="12"/>
      <c r="G49" s="12"/>
      <c r="H49" s="12">
        <f>2.5*14.99*16.67</f>
        <v>624.70825000000013</v>
      </c>
    </row>
    <row r="50" spans="5:9" ht="25" x14ac:dyDescent="0.25">
      <c r="E50" s="12"/>
      <c r="G50" s="37" t="s">
        <v>230</v>
      </c>
      <c r="H50" s="38"/>
    </row>
    <row r="51" spans="5:9" ht="25" x14ac:dyDescent="0.25">
      <c r="E51" s="12"/>
      <c r="F51" s="12"/>
      <c r="G51" s="12"/>
      <c r="H51" s="12"/>
    </row>
    <row r="52" spans="5:9" ht="25" x14ac:dyDescent="0.25">
      <c r="E52" s="22" t="s">
        <v>231</v>
      </c>
      <c r="F52" s="12"/>
      <c r="G52" s="12"/>
      <c r="H52" s="12"/>
    </row>
    <row r="53" spans="5:9" ht="25" x14ac:dyDescent="0.25">
      <c r="E53" s="11" t="s">
        <v>295</v>
      </c>
      <c r="F53" s="12"/>
      <c r="G53" s="12">
        <f>623.96+468.44+624.71</f>
        <v>1717.1100000000001</v>
      </c>
      <c r="H53" s="12"/>
    </row>
    <row r="55" spans="5:9" ht="25" x14ac:dyDescent="0.25">
      <c r="F55" s="35" t="s">
        <v>296</v>
      </c>
      <c r="G55" s="36"/>
      <c r="H55" s="36"/>
      <c r="I55" s="36"/>
    </row>
    <row r="58" spans="5:9" ht="25" x14ac:dyDescent="0.25">
      <c r="E58" s="20" t="s">
        <v>232</v>
      </c>
    </row>
    <row r="60" spans="5:9" ht="25" x14ac:dyDescent="0.25">
      <c r="E60" s="9" t="s">
        <v>233</v>
      </c>
    </row>
    <row r="62" spans="5:9" ht="26" x14ac:dyDescent="0.25">
      <c r="E62" s="14" t="s">
        <v>234</v>
      </c>
    </row>
    <row r="63" spans="5:9" ht="25" x14ac:dyDescent="0.25">
      <c r="F63" s="12" t="s">
        <v>235</v>
      </c>
    </row>
    <row r="64" spans="5:9" ht="25" x14ac:dyDescent="0.25">
      <c r="F64" s="12" t="s">
        <v>236</v>
      </c>
    </row>
    <row r="65" spans="5:6" ht="25" x14ac:dyDescent="0.25">
      <c r="F65" s="12" t="s">
        <v>237</v>
      </c>
    </row>
    <row r="67" spans="5:6" ht="25" x14ac:dyDescent="0.25">
      <c r="E67" s="11" t="s">
        <v>238</v>
      </c>
    </row>
    <row r="68" spans="5:6" ht="25" x14ac:dyDescent="0.25">
      <c r="E68" s="9" t="s">
        <v>239</v>
      </c>
    </row>
    <row r="69" spans="5:6" ht="25" x14ac:dyDescent="0.25">
      <c r="E69" s="9" t="s">
        <v>240</v>
      </c>
    </row>
    <row r="71" spans="5:6" ht="25" x14ac:dyDescent="0.25">
      <c r="E71" s="11" t="s">
        <v>241</v>
      </c>
    </row>
    <row r="72" spans="5:6" ht="25" x14ac:dyDescent="0.25">
      <c r="E72" s="9" t="s">
        <v>242</v>
      </c>
    </row>
    <row r="73" spans="5:6" ht="25" x14ac:dyDescent="0.25">
      <c r="E73" s="11" t="s">
        <v>243</v>
      </c>
    </row>
    <row r="74" spans="5:6" ht="25" x14ac:dyDescent="0.25">
      <c r="E74" s="9" t="s">
        <v>248</v>
      </c>
    </row>
    <row r="75" spans="5:6" ht="25" x14ac:dyDescent="0.25">
      <c r="E75" s="9" t="s">
        <v>244</v>
      </c>
    </row>
    <row r="76" spans="5:6" ht="25" x14ac:dyDescent="0.25">
      <c r="E76" s="9" t="s">
        <v>245</v>
      </c>
    </row>
    <row r="77" spans="5:6" ht="25" x14ac:dyDescent="0.25">
      <c r="E77" s="9" t="s">
        <v>246</v>
      </c>
    </row>
    <row r="79" spans="5:6" ht="25" x14ac:dyDescent="0.25">
      <c r="E79" s="11" t="s">
        <v>247</v>
      </c>
    </row>
    <row r="80" spans="5:6" ht="25" x14ac:dyDescent="0.25">
      <c r="E80" s="9" t="s">
        <v>248</v>
      </c>
    </row>
    <row r="82" spans="5:6" ht="25" x14ac:dyDescent="0.25">
      <c r="E82" s="9" t="s">
        <v>249</v>
      </c>
    </row>
    <row r="83" spans="5:6" ht="25" x14ac:dyDescent="0.25">
      <c r="E83" s="9" t="s">
        <v>250</v>
      </c>
    </row>
    <row r="84" spans="5:6" ht="25" x14ac:dyDescent="0.25">
      <c r="E84" s="9" t="s">
        <v>251</v>
      </c>
    </row>
    <row r="85" spans="5:6" ht="25" x14ac:dyDescent="0.25">
      <c r="E85" s="9" t="s">
        <v>252</v>
      </c>
    </row>
    <row r="88" spans="5:6" ht="25" x14ac:dyDescent="0.25">
      <c r="E88" s="20" t="s">
        <v>277</v>
      </c>
    </row>
    <row r="89" spans="5:6" ht="27" x14ac:dyDescent="0.35">
      <c r="E89" s="9" t="s">
        <v>253</v>
      </c>
      <c r="F89" s="10"/>
    </row>
    <row r="90" spans="5:6" ht="27" x14ac:dyDescent="0.35">
      <c r="E90" s="9" t="s">
        <v>254</v>
      </c>
      <c r="F90" s="10"/>
    </row>
    <row r="91" spans="5:6" ht="25" x14ac:dyDescent="0.25">
      <c r="E91" s="9" t="s">
        <v>255</v>
      </c>
      <c r="F91" s="22">
        <f>1000*22.22/2000</f>
        <v>11.11</v>
      </c>
    </row>
    <row r="92" spans="5:6" ht="25" x14ac:dyDescent="0.25">
      <c r="E92" s="9" t="s">
        <v>256</v>
      </c>
    </row>
    <row r="93" spans="5:6" ht="25" x14ac:dyDescent="0.25">
      <c r="E93" s="11" t="s">
        <v>257</v>
      </c>
    </row>
    <row r="94" spans="5:6" ht="25" x14ac:dyDescent="0.25">
      <c r="E94" s="9" t="s">
        <v>258</v>
      </c>
      <c r="F94" s="22">
        <f>18.75*26.11</f>
        <v>489.5625</v>
      </c>
    </row>
    <row r="95" spans="5:6" ht="25" x14ac:dyDescent="0.25">
      <c r="E95" s="11" t="s">
        <v>259</v>
      </c>
    </row>
    <row r="98" spans="5:6" ht="25" x14ac:dyDescent="0.25">
      <c r="E98" s="12" t="s">
        <v>264</v>
      </c>
    </row>
    <row r="99" spans="5:6" ht="25" x14ac:dyDescent="0.25">
      <c r="E99" s="9" t="s">
        <v>254</v>
      </c>
    </row>
    <row r="100" spans="5:6" ht="25" x14ac:dyDescent="0.25">
      <c r="E100" s="9" t="s">
        <v>316</v>
      </c>
      <c r="F100" s="22">
        <f>2000*33.33/2000</f>
        <v>33.33</v>
      </c>
    </row>
    <row r="101" spans="5:6" ht="25" x14ac:dyDescent="0.25">
      <c r="E101" s="9" t="s">
        <v>260</v>
      </c>
    </row>
    <row r="102" spans="5:6" ht="25" x14ac:dyDescent="0.25">
      <c r="E102" s="11" t="s">
        <v>261</v>
      </c>
    </row>
    <row r="103" spans="5:6" ht="25" x14ac:dyDescent="0.25">
      <c r="E103" s="9" t="s">
        <v>262</v>
      </c>
      <c r="F103" s="22">
        <f>3.75*58.33</f>
        <v>218.73749999999998</v>
      </c>
    </row>
    <row r="104" spans="5:6" ht="25" x14ac:dyDescent="0.25">
      <c r="E104" s="11" t="s">
        <v>263</v>
      </c>
    </row>
    <row r="105" spans="5:6" ht="25" x14ac:dyDescent="0.25">
      <c r="E105" s="12"/>
    </row>
    <row r="107" spans="5:6" ht="25" x14ac:dyDescent="0.25">
      <c r="E107" s="12" t="s">
        <v>265</v>
      </c>
    </row>
    <row r="108" spans="5:6" ht="25" x14ac:dyDescent="0.25">
      <c r="E108" s="9" t="s">
        <v>254</v>
      </c>
    </row>
    <row r="109" spans="5:6" ht="25" x14ac:dyDescent="0.25">
      <c r="E109" s="9" t="s">
        <v>266</v>
      </c>
      <c r="F109" s="22">
        <f>7200*50/2000</f>
        <v>180</v>
      </c>
    </row>
    <row r="110" spans="5:6" ht="25" x14ac:dyDescent="0.25">
      <c r="E110" s="9" t="s">
        <v>267</v>
      </c>
    </row>
    <row r="111" spans="5:6" ht="25" x14ac:dyDescent="0.25">
      <c r="E111" s="11" t="s">
        <v>297</v>
      </c>
    </row>
    <row r="112" spans="5:6" ht="25" x14ac:dyDescent="0.25">
      <c r="E112" s="9" t="s">
        <v>268</v>
      </c>
      <c r="F112" s="22">
        <f>2.5*225</f>
        <v>562.5</v>
      </c>
    </row>
    <row r="113" spans="5:6" ht="25" x14ac:dyDescent="0.25">
      <c r="E113" s="11" t="s">
        <v>269</v>
      </c>
    </row>
    <row r="116" spans="5:6" ht="25" x14ac:dyDescent="0.25">
      <c r="E116" s="29" t="s">
        <v>276</v>
      </c>
      <c r="F116" s="12"/>
    </row>
    <row r="118" spans="5:6" ht="25" x14ac:dyDescent="0.25">
      <c r="E118" s="11" t="s">
        <v>270</v>
      </c>
      <c r="F118" s="11" t="s">
        <v>271</v>
      </c>
    </row>
    <row r="119" spans="5:6" ht="25" x14ac:dyDescent="0.25">
      <c r="E119" s="9" t="s">
        <v>28</v>
      </c>
      <c r="F119" s="9" t="s">
        <v>272</v>
      </c>
    </row>
    <row r="120" spans="5:6" ht="25" x14ac:dyDescent="0.25">
      <c r="E120" s="9" t="s">
        <v>29</v>
      </c>
      <c r="F120" s="9" t="s">
        <v>273</v>
      </c>
    </row>
    <row r="121" spans="5:6" ht="25" x14ac:dyDescent="0.25">
      <c r="E121" s="9" t="s">
        <v>30</v>
      </c>
      <c r="F121" s="9" t="s">
        <v>274</v>
      </c>
    </row>
    <row r="122" spans="5:6" ht="25" x14ac:dyDescent="0.25">
      <c r="E122" s="11" t="s">
        <v>32</v>
      </c>
      <c r="F122" s="35" t="s">
        <v>275</v>
      </c>
    </row>
    <row r="125" spans="5:6" ht="25" x14ac:dyDescent="0.25">
      <c r="E125" s="29" t="s">
        <v>278</v>
      </c>
    </row>
    <row r="126" spans="5:6" ht="25" x14ac:dyDescent="0.25">
      <c r="E126" s="9" t="s">
        <v>279</v>
      </c>
    </row>
    <row r="127" spans="5:6" ht="25" x14ac:dyDescent="0.25">
      <c r="E127" s="11" t="s">
        <v>298</v>
      </c>
    </row>
    <row r="128" spans="5:6" ht="25" x14ac:dyDescent="0.25">
      <c r="E128" s="9" t="s">
        <v>280</v>
      </c>
    </row>
    <row r="129" spans="5:8" ht="25" x14ac:dyDescent="0.25">
      <c r="E129" s="9" t="s">
        <v>299</v>
      </c>
    </row>
    <row r="130" spans="5:8" ht="25" x14ac:dyDescent="0.25">
      <c r="E130" s="9" t="s">
        <v>300</v>
      </c>
    </row>
    <row r="131" spans="5:8" ht="25" x14ac:dyDescent="0.25">
      <c r="E131" s="9" t="s">
        <v>301</v>
      </c>
    </row>
    <row r="133" spans="5:8" ht="25" x14ac:dyDescent="0.25">
      <c r="E133" s="12" t="s">
        <v>302</v>
      </c>
      <c r="F133" s="44">
        <f>1717.11-1270.8</f>
        <v>446.30999999999995</v>
      </c>
    </row>
    <row r="135" spans="5:8" ht="25" x14ac:dyDescent="0.25">
      <c r="E135" s="35" t="s">
        <v>303</v>
      </c>
      <c r="F135" s="36"/>
    </row>
    <row r="137" spans="5:8" ht="25" x14ac:dyDescent="0.25">
      <c r="E137" s="12"/>
      <c r="F137" s="12"/>
    </row>
    <row r="138" spans="5:8" ht="25" x14ac:dyDescent="0.25">
      <c r="E138" s="29" t="s">
        <v>281</v>
      </c>
      <c r="F138" s="12"/>
    </row>
    <row r="140" spans="5:8" ht="78" x14ac:dyDescent="0.25">
      <c r="E140" s="11" t="s">
        <v>26</v>
      </c>
      <c r="F140" s="34" t="s">
        <v>282</v>
      </c>
      <c r="G140" s="11" t="s">
        <v>271</v>
      </c>
      <c r="H140" s="34" t="s">
        <v>283</v>
      </c>
    </row>
    <row r="141" spans="5:8" ht="25" x14ac:dyDescent="0.25">
      <c r="E141" s="9" t="s">
        <v>28</v>
      </c>
      <c r="F141" s="9" t="s">
        <v>284</v>
      </c>
      <c r="G141" s="9" t="s">
        <v>272</v>
      </c>
      <c r="H141" s="9" t="s">
        <v>306</v>
      </c>
    </row>
    <row r="142" spans="5:8" ht="25" x14ac:dyDescent="0.25">
      <c r="E142" s="9" t="s">
        <v>29</v>
      </c>
      <c r="F142" s="9" t="s">
        <v>304</v>
      </c>
      <c r="G142" s="9" t="s">
        <v>273</v>
      </c>
      <c r="H142" s="9" t="s">
        <v>307</v>
      </c>
    </row>
    <row r="143" spans="5:8" ht="25" x14ac:dyDescent="0.25">
      <c r="E143" s="9" t="s">
        <v>30</v>
      </c>
      <c r="F143" s="9" t="s">
        <v>285</v>
      </c>
      <c r="G143" s="9" t="s">
        <v>274</v>
      </c>
      <c r="H143" s="9" t="s">
        <v>286</v>
      </c>
    </row>
    <row r="144" spans="5:8" ht="25" x14ac:dyDescent="0.25">
      <c r="E144" s="11" t="s">
        <v>32</v>
      </c>
      <c r="F144" s="11" t="s">
        <v>305</v>
      </c>
      <c r="G144" s="11" t="s">
        <v>275</v>
      </c>
      <c r="H144" s="45" t="s">
        <v>317</v>
      </c>
    </row>
    <row r="145" spans="5:8" ht="25" x14ac:dyDescent="0.25">
      <c r="E145" s="12"/>
      <c r="F145" s="12"/>
      <c r="G145" s="12"/>
      <c r="H145" s="12"/>
    </row>
    <row r="147" spans="5:8" ht="25" x14ac:dyDescent="0.25">
      <c r="E147" s="39" t="s">
        <v>309</v>
      </c>
      <c r="F147" s="36"/>
    </row>
    <row r="148" spans="5:8" ht="25" x14ac:dyDescent="0.25">
      <c r="E148" s="9" t="s">
        <v>308</v>
      </c>
    </row>
    <row r="149" spans="5:8" ht="25" x14ac:dyDescent="0.25">
      <c r="G149" s="12"/>
      <c r="H149" s="12"/>
    </row>
    <row r="150" spans="5:8" ht="25" x14ac:dyDescent="0.25">
      <c r="E150" s="12"/>
      <c r="F150" s="12"/>
      <c r="G150" s="12"/>
      <c r="H150" s="12"/>
    </row>
    <row r="151" spans="5:8" ht="25" x14ac:dyDescent="0.25">
      <c r="E151" s="12"/>
      <c r="F151" s="12"/>
      <c r="G151" s="12"/>
      <c r="H151" s="12"/>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2</vt:lpstr>
      <vt:lpstr>Question 3</vt:lpstr>
      <vt:lpstr>Question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Michelle See</dc:creator>
  <cp:lastModifiedBy>Julia Michelle See</cp:lastModifiedBy>
  <dcterms:created xsi:type="dcterms:W3CDTF">2026-08-30T12:42:03Z</dcterms:created>
  <dcterms:modified xsi:type="dcterms:W3CDTF">2026-09-01T02:41:49Z</dcterms:modified>
</cp:coreProperties>
</file>